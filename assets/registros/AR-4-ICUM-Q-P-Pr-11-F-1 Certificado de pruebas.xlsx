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3_P-Piping/AR-4-ICUM-Q-P-Pr-11 Prueba Hidrostática de Válvulas Esféricas y Esclusas/Anexos y Formularios/"/>
    </mc:Choice>
  </mc:AlternateContent>
  <xr:revisionPtr revIDLastSave="11" documentId="13_ncr:1_{628B761B-A935-422C-86A5-FBB69C45C083}" xr6:coauthVersionLast="47" xr6:coauthVersionMax="47" xr10:uidLastSave="{8004F9C8-584E-4ADF-B087-36EF58D1C694}"/>
  <bookViews>
    <workbookView xWindow="22932" yWindow="-108" windowWidth="23256" windowHeight="12456" xr2:uid="{00000000-000D-0000-FFFF-FFFF00000000}"/>
  </bookViews>
  <sheets>
    <sheet name="AR-4-ICUM-Q-P-Pr-11-F-1" sheetId="5" r:id="rId1"/>
    <sheet name="B16.34 Table 2-1.1" sheetId="2" r:id="rId2"/>
    <sheet name="B16.34 Table 2-2.1" sheetId="1" r:id="rId3"/>
    <sheet name="API 6D Tabla 10" sheetId="3" r:id="rId4"/>
    <sheet name="API 6D Tabla 9" sheetId="4" r:id="rId5"/>
  </sheets>
  <definedNames>
    <definedName name="_xlnm.Print_Area" localSheetId="0">'AR-4-ICUM-Q-P-Pr-11-F-1'!$A$1:$F$35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D11" i="1"/>
  <c r="E11" i="1"/>
  <c r="F11" i="1"/>
  <c r="G11" i="1"/>
  <c r="C11" i="1"/>
  <c r="H10" i="1"/>
  <c r="D10" i="1"/>
  <c r="E10" i="1"/>
  <c r="F10" i="1"/>
  <c r="G10" i="1"/>
  <c r="C10" i="1"/>
  <c r="H10" i="2"/>
  <c r="D10" i="2"/>
  <c r="E10" i="2"/>
  <c r="F10" i="2"/>
  <c r="G10" i="2"/>
  <c r="C10" i="2"/>
  <c r="H9" i="2"/>
  <c r="D9" i="2"/>
  <c r="E9" i="2"/>
  <c r="F9" i="2"/>
  <c r="G9" i="2"/>
  <c r="C9" i="2"/>
</calcChain>
</file>

<file path=xl/sharedStrings.xml><?xml version="1.0" encoding="utf-8"?>
<sst xmlns="http://schemas.openxmlformats.org/spreadsheetml/2006/main" count="151" uniqueCount="106">
  <si>
    <t>CERTIFICADO DE PRUEBAS (tipico)</t>
  </si>
  <si>
    <t>Revisión: 0</t>
  </si>
  <si>
    <t>CLIENTE:</t>
  </si>
  <si>
    <t>O.C. ó A.C. N°:</t>
  </si>
  <si>
    <t>ÍTEM:</t>
  </si>
  <si>
    <t>VÁLVULA D.N.:</t>
  </si>
  <si>
    <t>MODELO:</t>
  </si>
  <si>
    <t>TIPO:</t>
  </si>
  <si>
    <t>CLASE ANSI:</t>
  </si>
  <si>
    <t>N° de SERIE</t>
  </si>
  <si>
    <t>TAG N°:</t>
  </si>
  <si>
    <t>Por el presente certificamos la ejecución de las pruebas hidraúlicas y/o neumáticas según la norma API 6D en su última edición.</t>
  </si>
  <si>
    <r>
      <t xml:space="preserve">PRUEBAS HIDRAULICAS </t>
    </r>
    <r>
      <rPr>
        <b/>
        <sz val="10"/>
        <color theme="1"/>
        <rFont val="Exo"/>
      </rPr>
      <t>(Hidraulic Test)</t>
    </r>
  </si>
  <si>
    <r>
      <t xml:space="preserve">Prueba del Cuerpo </t>
    </r>
    <r>
      <rPr>
        <b/>
        <i/>
        <sz val="10"/>
        <color theme="1"/>
        <rFont val="Exo"/>
      </rPr>
      <t>(Shell Test)</t>
    </r>
  </si>
  <si>
    <t>Presión (Bar)</t>
  </si>
  <si>
    <t>Tiempo (min)</t>
  </si>
  <si>
    <t>Fuga Admisible</t>
  </si>
  <si>
    <t>Resultado</t>
  </si>
  <si>
    <t>Instrumento Utilizado</t>
  </si>
  <si>
    <t>Observaciones</t>
  </si>
  <si>
    <r>
      <t xml:space="preserve">Prueba de Asiento N°1 - N°2 </t>
    </r>
    <r>
      <rPr>
        <b/>
        <i/>
        <sz val="10"/>
        <color theme="1"/>
        <rFont val="Exo"/>
      </rPr>
      <t>(Upstream Seat / Downstream Seat Test)</t>
    </r>
  </si>
  <si>
    <t xml:space="preserve"> N°1</t>
  </si>
  <si>
    <t xml:space="preserve">N°2 </t>
  </si>
  <si>
    <r>
      <t xml:space="preserve">Prueba de Torque </t>
    </r>
    <r>
      <rPr>
        <b/>
        <i/>
        <sz val="10"/>
        <color theme="1"/>
        <rFont val="Exo"/>
      </rPr>
      <t>(Torque Test)</t>
    </r>
  </si>
  <si>
    <t>Torque Máx. (Kgm)</t>
  </si>
  <si>
    <t>Accionamiento</t>
  </si>
  <si>
    <t>Torque Aplicado(Kgm)</t>
  </si>
  <si>
    <r>
      <t xml:space="preserve">Prueba de Doble Bloqueo y Venteo </t>
    </r>
    <r>
      <rPr>
        <b/>
        <i/>
        <sz val="10"/>
        <color theme="1"/>
        <rFont val="Exo"/>
      </rPr>
      <t>(Double Block and Bleed Test)</t>
    </r>
  </si>
  <si>
    <r>
      <t xml:space="preserve">PRUEBAS NEUMATICAS </t>
    </r>
    <r>
      <rPr>
        <b/>
        <sz val="10"/>
        <color theme="1"/>
        <rFont val="Exo"/>
      </rPr>
      <t>(Pneumatics Test)</t>
    </r>
  </si>
  <si>
    <t xml:space="preserve">PRUEBAS FUNCIONALES </t>
  </si>
  <si>
    <t>Código de Materiales:</t>
  </si>
  <si>
    <t>Sellos</t>
  </si>
  <si>
    <t xml:space="preserve"> Cuerpo</t>
  </si>
  <si>
    <t>Esparrago</t>
  </si>
  <si>
    <t>Esfera</t>
  </si>
  <si>
    <t>Tuerca</t>
  </si>
  <si>
    <t>Observaciones:</t>
  </si>
  <si>
    <t xml:space="preserve">Inspector </t>
  </si>
  <si>
    <t xml:space="preserve">Operador </t>
  </si>
  <si>
    <t xml:space="preserve">Cliente </t>
  </si>
  <si>
    <t xml:space="preserve">Garantía de Calidad </t>
  </si>
  <si>
    <t>Tabla 2-1.1 Ratings para Grupo de Materiales 1.1 (ASME B16.34)</t>
  </si>
  <si>
    <t>A105 (1), (2)</t>
  </si>
  <si>
    <t xml:space="preserve"> A515 Gr. 70 (1)</t>
  </si>
  <si>
    <t>A696 Gr. C (3)</t>
  </si>
  <si>
    <t>A672 Gr. B70 (1)</t>
  </si>
  <si>
    <t>A216 Gr. WCB (1)</t>
  </si>
  <si>
    <t>A516 Gr. 70 (1), (4)</t>
  </si>
  <si>
    <t>A350 Gr. LF6 Cl. 1 (5)</t>
  </si>
  <si>
    <t>A672 Gr. C70 (1)</t>
  </si>
  <si>
    <t>A350 Gr. LF2 (1)</t>
  </si>
  <si>
    <t>A537 Cl. 1 (3)</t>
  </si>
  <si>
    <t>A350 Gr. LF3 (6)</t>
  </si>
  <si>
    <t>A – Clase Estandar</t>
  </si>
  <si>
    <t>Prueba del:</t>
  </si>
  <si>
    <t>Temperatura, °C</t>
  </si>
  <si>
    <t>Presión de prueba por clase, bar</t>
  </si>
  <si>
    <t>Cuerpo</t>
  </si>
  <si>
    <t>´-29 a 38</t>
  </si>
  <si>
    <t>Asientos</t>
  </si>
  <si>
    <t>Notas</t>
  </si>
  <si>
    <t>(1) Tras una exposición prolongada a temperaturas superiores a 425 ° C, la fase de carburo del acero se puede convertir en grafito. Se permite, pero no se recomienda para un uso prolongado por encima de 425 ° C.</t>
  </si>
  <si>
    <t>(2) Sólo se utilizarán aceros calmados por encima de 455 ° C.</t>
  </si>
  <si>
    <t>(3) No debe utilizarse a más de 370 ° C.</t>
  </si>
  <si>
    <t>(4) No debe utilizarse a más de 455 ° C.</t>
  </si>
  <si>
    <t>(5) No debe utilizarse a más de 260 ° C.</t>
  </si>
  <si>
    <t>(6) No debe utilizarse sobre 345 ° C.</t>
  </si>
  <si>
    <t>Tabla 2-2.1 Ratings para Grupo de Materiales 2.1 (ASME B16.34)</t>
  </si>
  <si>
    <t>A182 Gr. F304 (1)</t>
  </si>
  <si>
    <t>A312 Gr. TP304 (1)</t>
  </si>
  <si>
    <t>A351 Gr. CF8 (1)</t>
  </si>
  <si>
    <t>A430 Gr. FP304 (1)</t>
  </si>
  <si>
    <t>A182 Gr. F304H</t>
  </si>
  <si>
    <t>A312 Gr. TP304H</t>
  </si>
  <si>
    <t>A358 Gr. 304 (1)</t>
  </si>
  <si>
    <t>A430 Gr. FP304H</t>
  </si>
  <si>
    <t>A240 Gr. 304 (1)</t>
  </si>
  <si>
    <t>A351 Gr. CF10</t>
  </si>
  <si>
    <t>A376 Gr. TP304 (1)</t>
  </si>
  <si>
    <t>A479 Gr. 304 (1)</t>
  </si>
  <si>
    <t>A240 Gr. 304H</t>
  </si>
  <si>
    <t>A351 Gr. CF3 (2)</t>
  </si>
  <si>
    <t>A376 Gr. TP304H</t>
  </si>
  <si>
    <t>A479 Gr. 304H</t>
  </si>
  <si>
    <t>(1) A temperaturas superiores a 538 ° C, usar solo cuando el contenido de carbono es de 0.04% o mayor.</t>
  </si>
  <si>
    <t>(2) No debe utilizarse a más de 425 ° C.</t>
  </si>
  <si>
    <t>Tabla 10 (API 6D)— Duración mínima de la prueba del cuerpo</t>
  </si>
  <si>
    <t>Tamaño de la válvula</t>
  </si>
  <si>
    <t>Duración de la prueba</t>
  </si>
  <si>
    <t>DN</t>
  </si>
  <si>
    <t>NPS</t>
  </si>
  <si>
    <t>minutos</t>
  </si>
  <si>
    <t>15 to 100</t>
  </si>
  <si>
    <t>½ to 4</t>
  </si>
  <si>
    <t>150 to 250</t>
  </si>
  <si>
    <t>6 to 10</t>
  </si>
  <si>
    <t>300 to 450</t>
  </si>
  <si>
    <t>12 to 18</t>
  </si>
  <si>
    <t>≥ 500</t>
  </si>
  <si>
    <t>≥ 20</t>
  </si>
  <si>
    <t>Tabla 9 (API 6D) — Duración mínima de la prueba del asiento</t>
  </si>
  <si>
    <t>½ a 4</t>
  </si>
  <si>
    <t>≥ 150</t>
  </si>
  <si>
    <t>≥ 6</t>
  </si>
  <si>
    <t>AR-4-ICUM-Q-P-Pr-11-F-1</t>
  </si>
  <si>
    <t>Fecha: 14/04/2025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</si>
</sst>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xo"/>
    </font>
    <font>
      <b/>
      <sz val="11"/>
      <color theme="1"/>
      <name val="Exo"/>
    </font>
    <font>
      <b/>
      <sz val="10"/>
      <color theme="1"/>
      <name val="Exo"/>
    </font>
    <font>
      <b/>
      <i/>
      <sz val="11"/>
      <color theme="1"/>
      <name val="Exo"/>
    </font>
    <font>
      <b/>
      <i/>
      <sz val="10"/>
      <color theme="1"/>
      <name val="Exo"/>
    </font>
    <font>
      <sz val="10"/>
      <color theme="1"/>
      <name val="Exo"/>
    </font>
    <font>
      <b/>
      <sz val="7"/>
      <color theme="1"/>
      <name val="Exo"/>
    </font>
    <font>
      <sz val="10"/>
      <color rgb="FF20335A"/>
      <name val="Exo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/>
    <xf numFmtId="0" fontId="0" fillId="0" borderId="24" xfId="0" applyBorder="1"/>
    <xf numFmtId="0" fontId="0" fillId="0" borderId="25" xfId="0" applyBorder="1" applyAlignment="1">
      <alignment horizontal="center" vertical="center" wrapText="1"/>
    </xf>
    <xf numFmtId="0" fontId="0" fillId="0" borderId="11" xfId="0" applyBorder="1"/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2" xfId="0" applyFont="1" applyBorder="1"/>
    <xf numFmtId="0" fontId="1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56" xfId="0" applyFont="1" applyBorder="1"/>
    <xf numFmtId="0" fontId="2" fillId="0" borderId="57" xfId="0" applyFont="1" applyBorder="1"/>
    <xf numFmtId="0" fontId="2" fillId="0" borderId="0" xfId="0" applyFont="1"/>
    <xf numFmtId="0" fontId="2" fillId="0" borderId="7" xfId="0" applyFont="1" applyBorder="1"/>
    <xf numFmtId="0" fontId="2" fillId="0" borderId="1" xfId="0" applyFont="1" applyBorder="1"/>
    <xf numFmtId="0" fontId="2" fillId="0" borderId="12" xfId="0" applyFont="1" applyBorder="1"/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5" fillId="0" borderId="17" xfId="0" applyFont="1" applyBorder="1" applyAlignment="1">
      <alignment vertical="top"/>
    </xf>
    <xf numFmtId="0" fontId="5" fillId="0" borderId="51" xfId="0" applyFont="1" applyBorder="1" applyAlignment="1">
      <alignment vertical="top" wrapText="1"/>
    </xf>
    <xf numFmtId="0" fontId="5" fillId="0" borderId="19" xfId="0" applyFont="1" applyBorder="1"/>
    <xf numFmtId="0" fontId="5" fillId="0" borderId="20" xfId="0" applyFont="1" applyBorder="1" applyAlignment="1">
      <alignment vertical="top" wrapText="1"/>
    </xf>
    <xf numFmtId="0" fontId="6" fillId="0" borderId="52" xfId="0" applyFont="1" applyBorder="1" applyAlignment="1">
      <alignment wrapText="1"/>
    </xf>
    <xf numFmtId="0" fontId="2" fillId="0" borderId="22" xfId="0" applyFont="1" applyBorder="1"/>
    <xf numFmtId="0" fontId="9" fillId="0" borderId="58" xfId="0" applyFont="1" applyBorder="1" applyAlignment="1">
      <alignment vertical="top"/>
    </xf>
    <xf numFmtId="0" fontId="7" fillId="0" borderId="6" xfId="0" applyFont="1" applyBorder="1"/>
    <xf numFmtId="0" fontId="7" fillId="0" borderId="0" xfId="0" applyFont="1"/>
    <xf numFmtId="0" fontId="7" fillId="0" borderId="11" xfId="0" applyFont="1" applyBorder="1"/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5" fillId="0" borderId="59" xfId="0" applyFont="1" applyBorder="1" applyAlignment="1">
      <alignment vertical="top" wrapText="1"/>
    </xf>
    <xf numFmtId="0" fontId="3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" fillId="0" borderId="31" xfId="0" applyFont="1" applyBorder="1" applyAlignment="1"/>
    <xf numFmtId="0" fontId="2" fillId="0" borderId="16" xfId="0" applyFont="1" applyBorder="1" applyAlignment="1"/>
    <xf numFmtId="0" fontId="2" fillId="0" borderId="33" xfId="0" applyFont="1" applyBorder="1" applyAlignment="1"/>
    <xf numFmtId="0" fontId="2" fillId="0" borderId="34" xfId="0" applyFont="1" applyBorder="1" applyAlignment="1"/>
    <xf numFmtId="0" fontId="2" fillId="0" borderId="16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5" fillId="0" borderId="31" xfId="0" applyFont="1" applyBorder="1" applyAlignment="1"/>
    <xf numFmtId="0" fontId="5" fillId="0" borderId="16" xfId="0" applyFont="1" applyBorder="1" applyAlignment="1"/>
    <xf numFmtId="0" fontId="5" fillId="0" borderId="32" xfId="0" applyFont="1" applyBorder="1" applyAlignment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5" fillId="0" borderId="47" xfId="0" applyFont="1" applyBorder="1" applyAlignment="1">
      <alignment horizontal="left" vertical="top"/>
    </xf>
    <xf numFmtId="0" fontId="5" fillId="0" borderId="48" xfId="0" applyFont="1" applyBorder="1" applyAlignment="1">
      <alignment horizontal="left" vertical="top"/>
    </xf>
    <xf numFmtId="0" fontId="5" fillId="0" borderId="49" xfId="0" applyFont="1" applyBorder="1" applyAlignment="1">
      <alignment horizontal="left" vertical="top"/>
    </xf>
    <xf numFmtId="0" fontId="2" fillId="0" borderId="55" xfId="0" applyFont="1" applyBorder="1" applyAlignment="1">
      <alignment horizontal="left"/>
    </xf>
    <xf numFmtId="0" fontId="2" fillId="0" borderId="56" xfId="0" applyFont="1" applyBorder="1" applyAlignment="1">
      <alignment horizontal="left"/>
    </xf>
    <xf numFmtId="0" fontId="5" fillId="0" borderId="6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3" fillId="0" borderId="30" xfId="0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57150</xdr:rowOff>
    </xdr:from>
    <xdr:to>
      <xdr:col>3</xdr:col>
      <xdr:colOff>771525</xdr:colOff>
      <xdr:row>1</xdr:row>
      <xdr:rowOff>57150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FD43E57-1FF3-48B1-A2BA-3541C3748808}"/>
            </a:ext>
          </a:extLst>
        </xdr:cNvPr>
        <xdr:cNvCxnSpPr/>
      </xdr:nvCxnSpPr>
      <xdr:spPr>
        <a:xfrm flipH="1">
          <a:off x="66675" y="361950"/>
          <a:ext cx="38862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289560</xdr:colOff>
      <xdr:row>0</xdr:row>
      <xdr:rowOff>60961</xdr:rowOff>
    </xdr:from>
    <xdr:to>
      <xdr:col>5</xdr:col>
      <xdr:colOff>1470660</xdr:colOff>
      <xdr:row>2</xdr:row>
      <xdr:rowOff>190835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97CCBC-A41A-DFA7-5002-F20F126B4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434" b="168"/>
        <a:stretch/>
      </xdr:blipFill>
      <xdr:spPr bwMode="auto">
        <a:xfrm>
          <a:off x="3139440" y="60961"/>
          <a:ext cx="2933700" cy="73947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view="pageBreakPreview" zoomScaleNormal="100" zoomScaleSheetLayoutView="100" workbookViewId="0">
      <selection activeCell="F11" sqref="F11"/>
    </sheetView>
  </sheetViews>
  <sheetFormatPr baseColWidth="10" defaultColWidth="11" defaultRowHeight="16.8" x14ac:dyDescent="0.4"/>
  <cols>
    <col min="1" max="1" width="18.44140625" style="35" bestFit="1" customWidth="1"/>
    <col min="2" max="2" width="10.5546875" style="35" customWidth="1"/>
    <col min="3" max="3" width="12.5546875" style="35" customWidth="1"/>
    <col min="4" max="4" width="11" style="35"/>
    <col min="5" max="5" width="14.5546875" style="35" customWidth="1"/>
    <col min="6" max="6" width="22.5546875" style="35" customWidth="1"/>
    <col min="7" max="16384" width="11" style="35"/>
  </cols>
  <sheetData>
    <row r="1" spans="1:6" ht="24" customHeight="1" x14ac:dyDescent="0.4">
      <c r="A1" s="88" t="s">
        <v>0</v>
      </c>
      <c r="B1" s="89"/>
      <c r="C1" s="89"/>
      <c r="D1" s="89"/>
      <c r="E1" s="33"/>
      <c r="F1" s="34"/>
    </row>
    <row r="2" spans="1:6" ht="24" customHeight="1" x14ac:dyDescent="0.4">
      <c r="A2" s="55" t="s">
        <v>104</v>
      </c>
      <c r="B2" s="56"/>
      <c r="C2" s="56"/>
      <c r="F2" s="36"/>
    </row>
    <row r="3" spans="1:6" ht="24" customHeight="1" thickBot="1" x14ac:dyDescent="0.45">
      <c r="A3" s="57" t="s">
        <v>105</v>
      </c>
      <c r="B3" s="58"/>
      <c r="C3" s="54" t="s">
        <v>1</v>
      </c>
      <c r="D3" s="37"/>
      <c r="E3" s="37"/>
      <c r="F3" s="38"/>
    </row>
    <row r="4" spans="1:6" x14ac:dyDescent="0.4">
      <c r="A4" s="68" t="s">
        <v>2</v>
      </c>
      <c r="B4" s="69"/>
      <c r="C4" s="72" t="s">
        <v>3</v>
      </c>
      <c r="D4" s="72"/>
      <c r="E4" s="72" t="s">
        <v>4</v>
      </c>
      <c r="F4" s="100"/>
    </row>
    <row r="5" spans="1:6" x14ac:dyDescent="0.4">
      <c r="A5" s="68" t="s">
        <v>5</v>
      </c>
      <c r="B5" s="69"/>
      <c r="C5" s="72" t="s">
        <v>6</v>
      </c>
      <c r="D5" s="72"/>
      <c r="E5" s="72" t="s">
        <v>7</v>
      </c>
      <c r="F5" s="100"/>
    </row>
    <row r="6" spans="1:6" ht="17.399999999999999" thickBot="1" x14ac:dyDescent="0.45">
      <c r="A6" s="70" t="s">
        <v>8</v>
      </c>
      <c r="B6" s="71"/>
      <c r="C6" s="73" t="s">
        <v>9</v>
      </c>
      <c r="D6" s="73"/>
      <c r="E6" s="73" t="s">
        <v>10</v>
      </c>
      <c r="F6" s="101"/>
    </row>
    <row r="7" spans="1:6" ht="15" customHeight="1" thickBot="1" x14ac:dyDescent="0.45">
      <c r="A7" s="102" t="s">
        <v>11</v>
      </c>
      <c r="B7" s="103"/>
      <c r="C7" s="103"/>
      <c r="D7" s="103"/>
      <c r="E7" s="103"/>
      <c r="F7" s="104"/>
    </row>
    <row r="8" spans="1:6" x14ac:dyDescent="0.4">
      <c r="A8" s="81" t="s">
        <v>12</v>
      </c>
      <c r="B8" s="82"/>
      <c r="C8" s="82"/>
      <c r="D8" s="82"/>
      <c r="E8" s="82"/>
      <c r="F8" s="99"/>
    </row>
    <row r="9" spans="1:6" x14ac:dyDescent="0.4">
      <c r="A9" s="78" t="s">
        <v>13</v>
      </c>
      <c r="B9" s="79"/>
      <c r="C9" s="79"/>
      <c r="D9" s="79"/>
      <c r="E9" s="79"/>
      <c r="F9" s="80"/>
    </row>
    <row r="10" spans="1:6" ht="27.75" customHeight="1" x14ac:dyDescent="0.4">
      <c r="A10" s="39" t="s">
        <v>14</v>
      </c>
      <c r="B10" s="40" t="s">
        <v>15</v>
      </c>
      <c r="C10" s="40" t="s">
        <v>16</v>
      </c>
      <c r="D10" s="40" t="s">
        <v>17</v>
      </c>
      <c r="E10" s="40" t="s">
        <v>18</v>
      </c>
      <c r="F10" s="41" t="s">
        <v>19</v>
      </c>
    </row>
    <row r="11" spans="1:6" ht="30" customHeight="1" x14ac:dyDescent="0.4">
      <c r="A11" s="42"/>
      <c r="B11" s="43"/>
      <c r="C11" s="43"/>
      <c r="D11" s="43"/>
      <c r="E11" s="43"/>
      <c r="F11" s="44"/>
    </row>
    <row r="12" spans="1:6" x14ac:dyDescent="0.4">
      <c r="A12" s="78" t="s">
        <v>20</v>
      </c>
      <c r="B12" s="79"/>
      <c r="C12" s="79"/>
      <c r="D12" s="79"/>
      <c r="E12" s="79"/>
      <c r="F12" s="80"/>
    </row>
    <row r="13" spans="1:6" ht="30" customHeight="1" x14ac:dyDescent="0.4">
      <c r="A13" s="39" t="s">
        <v>14</v>
      </c>
      <c r="B13" s="40" t="s">
        <v>15</v>
      </c>
      <c r="C13" s="40" t="s">
        <v>16</v>
      </c>
      <c r="D13" s="40" t="s">
        <v>17</v>
      </c>
      <c r="E13" s="40" t="s">
        <v>18</v>
      </c>
      <c r="F13" s="41" t="s">
        <v>19</v>
      </c>
    </row>
    <row r="14" spans="1:6" ht="30" customHeight="1" x14ac:dyDescent="0.4">
      <c r="A14" s="66" t="s">
        <v>21</v>
      </c>
      <c r="B14" s="64"/>
      <c r="C14" s="64"/>
      <c r="D14" s="64"/>
      <c r="E14" s="64"/>
      <c r="F14" s="65"/>
    </row>
    <row r="15" spans="1:6" ht="30" customHeight="1" x14ac:dyDescent="0.4">
      <c r="A15" s="67" t="s">
        <v>22</v>
      </c>
      <c r="B15" s="43"/>
      <c r="C15" s="43"/>
      <c r="D15" s="43"/>
      <c r="E15" s="43"/>
      <c r="F15" s="44"/>
    </row>
    <row r="16" spans="1:6" x14ac:dyDescent="0.4">
      <c r="A16" s="78" t="s">
        <v>23</v>
      </c>
      <c r="B16" s="79"/>
      <c r="C16" s="79"/>
      <c r="D16" s="79"/>
      <c r="E16" s="79"/>
      <c r="F16" s="80"/>
    </row>
    <row r="17" spans="1:6" ht="30" customHeight="1" x14ac:dyDescent="0.4">
      <c r="A17" s="39" t="s">
        <v>14</v>
      </c>
      <c r="B17" s="40" t="s">
        <v>24</v>
      </c>
      <c r="C17" s="40" t="s">
        <v>25</v>
      </c>
      <c r="D17" s="40" t="s">
        <v>26</v>
      </c>
      <c r="E17" s="40" t="s">
        <v>18</v>
      </c>
      <c r="F17" s="41" t="s">
        <v>17</v>
      </c>
    </row>
    <row r="18" spans="1:6" ht="30" customHeight="1" x14ac:dyDescent="0.4">
      <c r="A18" s="42"/>
      <c r="B18" s="43"/>
      <c r="C18" s="43"/>
      <c r="D18" s="43"/>
      <c r="E18" s="43"/>
      <c r="F18" s="44"/>
    </row>
    <row r="19" spans="1:6" x14ac:dyDescent="0.4">
      <c r="A19" s="78" t="s">
        <v>27</v>
      </c>
      <c r="B19" s="79"/>
      <c r="C19" s="79"/>
      <c r="D19" s="79"/>
      <c r="E19" s="79"/>
      <c r="F19" s="80"/>
    </row>
    <row r="20" spans="1:6" ht="30" customHeight="1" x14ac:dyDescent="0.4">
      <c r="A20" s="39" t="s">
        <v>14</v>
      </c>
      <c r="B20" s="40" t="s">
        <v>15</v>
      </c>
      <c r="C20" s="40" t="s">
        <v>16</v>
      </c>
      <c r="D20" s="40" t="s">
        <v>17</v>
      </c>
      <c r="E20" s="40" t="s">
        <v>18</v>
      </c>
      <c r="F20" s="41" t="s">
        <v>19</v>
      </c>
    </row>
    <row r="21" spans="1:6" ht="30" customHeight="1" thickBot="1" x14ac:dyDescent="0.45">
      <c r="A21" s="45"/>
      <c r="B21" s="46"/>
      <c r="C21" s="46"/>
      <c r="D21" s="46"/>
      <c r="E21" s="46"/>
      <c r="F21" s="47"/>
    </row>
    <row r="22" spans="1:6" x14ac:dyDescent="0.4">
      <c r="A22" s="81" t="s">
        <v>28</v>
      </c>
      <c r="B22" s="82"/>
      <c r="C22" s="82"/>
      <c r="D22" s="82"/>
      <c r="E22" s="82"/>
      <c r="F22" s="99"/>
    </row>
    <row r="23" spans="1:6" x14ac:dyDescent="0.4">
      <c r="A23" s="78" t="s">
        <v>20</v>
      </c>
      <c r="B23" s="79"/>
      <c r="C23" s="79"/>
      <c r="D23" s="79"/>
      <c r="E23" s="79"/>
      <c r="F23" s="80"/>
    </row>
    <row r="24" spans="1:6" ht="32.4" x14ac:dyDescent="0.4">
      <c r="A24" s="39" t="s">
        <v>14</v>
      </c>
      <c r="B24" s="40" t="s">
        <v>15</v>
      </c>
      <c r="C24" s="40" t="s">
        <v>16</v>
      </c>
      <c r="D24" s="40" t="s">
        <v>17</v>
      </c>
      <c r="E24" s="40" t="s">
        <v>18</v>
      </c>
      <c r="F24" s="41" t="s">
        <v>19</v>
      </c>
    </row>
    <row r="25" spans="1:6" ht="30" customHeight="1" x14ac:dyDescent="0.4">
      <c r="A25" s="42"/>
      <c r="B25" s="43"/>
      <c r="C25" s="43"/>
      <c r="D25" s="43"/>
      <c r="E25" s="43"/>
      <c r="F25" s="44"/>
    </row>
    <row r="26" spans="1:6" x14ac:dyDescent="0.4">
      <c r="A26" s="78" t="s">
        <v>27</v>
      </c>
      <c r="B26" s="79"/>
      <c r="C26" s="79"/>
      <c r="D26" s="79"/>
      <c r="E26" s="79"/>
      <c r="F26" s="80"/>
    </row>
    <row r="27" spans="1:6" ht="32.4" x14ac:dyDescent="0.4">
      <c r="A27" s="39" t="s">
        <v>14</v>
      </c>
      <c r="B27" s="40" t="s">
        <v>15</v>
      </c>
      <c r="C27" s="40" t="s">
        <v>16</v>
      </c>
      <c r="D27" s="40" t="s">
        <v>17</v>
      </c>
      <c r="E27" s="40" t="s">
        <v>18</v>
      </c>
      <c r="F27" s="41" t="s">
        <v>19</v>
      </c>
    </row>
    <row r="28" spans="1:6" ht="30" customHeight="1" thickBot="1" x14ac:dyDescent="0.45">
      <c r="A28" s="42"/>
      <c r="B28" s="43"/>
      <c r="C28" s="43"/>
      <c r="D28" s="43"/>
      <c r="E28" s="43"/>
      <c r="F28" s="44"/>
    </row>
    <row r="29" spans="1:6" x14ac:dyDescent="0.4">
      <c r="A29" s="81" t="s">
        <v>29</v>
      </c>
      <c r="B29" s="82"/>
      <c r="C29" s="82"/>
      <c r="D29" s="83"/>
      <c r="E29" s="83"/>
      <c r="F29" s="84"/>
    </row>
    <row r="30" spans="1:6" x14ac:dyDescent="0.4">
      <c r="A30" s="93" t="s">
        <v>30</v>
      </c>
      <c r="B30" s="94"/>
      <c r="C30" s="94"/>
      <c r="D30" s="98" t="s">
        <v>31</v>
      </c>
      <c r="E30" s="98"/>
      <c r="F30" s="98"/>
    </row>
    <row r="31" spans="1:6" x14ac:dyDescent="0.4">
      <c r="A31" s="62" t="s">
        <v>32</v>
      </c>
      <c r="B31" s="59"/>
      <c r="C31" s="60"/>
      <c r="D31" s="95" t="s">
        <v>33</v>
      </c>
      <c r="E31" s="96"/>
      <c r="F31" s="97"/>
    </row>
    <row r="32" spans="1:6" x14ac:dyDescent="0.4">
      <c r="A32" s="63" t="s">
        <v>34</v>
      </c>
      <c r="B32" s="59"/>
      <c r="C32" s="61"/>
      <c r="D32" s="90" t="s">
        <v>35</v>
      </c>
      <c r="E32" s="91"/>
      <c r="F32" s="92"/>
    </row>
    <row r="33" spans="1:6" ht="30" customHeight="1" thickBot="1" x14ac:dyDescent="0.45">
      <c r="A33" s="85" t="s">
        <v>36</v>
      </c>
      <c r="B33" s="86"/>
      <c r="C33" s="86"/>
      <c r="D33" s="86"/>
      <c r="E33" s="86"/>
      <c r="F33" s="87"/>
    </row>
    <row r="34" spans="1:6" ht="35.1" customHeight="1" x14ac:dyDescent="0.4">
      <c r="A34" s="48" t="s">
        <v>37</v>
      </c>
      <c r="B34" s="74"/>
      <c r="C34" s="74"/>
      <c r="D34" s="75"/>
      <c r="E34" s="49" t="s">
        <v>38</v>
      </c>
      <c r="F34" s="50"/>
    </row>
    <row r="35" spans="1:6" ht="45" customHeight="1" thickBot="1" x14ac:dyDescent="0.45">
      <c r="A35" s="51" t="s">
        <v>39</v>
      </c>
      <c r="B35" s="76"/>
      <c r="C35" s="76"/>
      <c r="D35" s="77"/>
      <c r="E35" s="52" t="s">
        <v>40</v>
      </c>
      <c r="F35" s="53"/>
    </row>
  </sheetData>
  <mergeCells count="27">
    <mergeCell ref="A1:D1"/>
    <mergeCell ref="D32:F32"/>
    <mergeCell ref="A30:C30"/>
    <mergeCell ref="D31:F31"/>
    <mergeCell ref="D30:F30"/>
    <mergeCell ref="A9:F9"/>
    <mergeCell ref="A12:F12"/>
    <mergeCell ref="A16:F16"/>
    <mergeCell ref="A19:F19"/>
    <mergeCell ref="A22:F22"/>
    <mergeCell ref="A23:F23"/>
    <mergeCell ref="E4:F4"/>
    <mergeCell ref="E5:F5"/>
    <mergeCell ref="E6:F6"/>
    <mergeCell ref="A7:F7"/>
    <mergeCell ref="A8:F8"/>
    <mergeCell ref="B34:D34"/>
    <mergeCell ref="B35:D35"/>
    <mergeCell ref="A26:F26"/>
    <mergeCell ref="A29:F29"/>
    <mergeCell ref="A33:F33"/>
    <mergeCell ref="A4:B4"/>
    <mergeCell ref="A5:B5"/>
    <mergeCell ref="A6:B6"/>
    <mergeCell ref="C4:D4"/>
    <mergeCell ref="C5:D5"/>
    <mergeCell ref="C6:D6"/>
  </mergeCells>
  <pageMargins left="0.9055118110236221" right="0.51181102362204722" top="0.39370078740157483" bottom="0.39370078740157483" header="0.31496062992125984" footer="0.31496062992125984"/>
  <pageSetup paperSize="9" scale="93" orientation="portrait" horizontalDpi="300" verticalDpi="300" r:id="rId1"/>
  <headerFooter>
    <oddFooter>&amp;L&amp;F&amp;R&amp;N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H20" sqref="H20"/>
    </sheetView>
  </sheetViews>
  <sheetFormatPr baseColWidth="10" defaultColWidth="11.44140625" defaultRowHeight="14.4" x14ac:dyDescent="0.3"/>
  <cols>
    <col min="1" max="1" width="15.5546875" customWidth="1"/>
    <col min="2" max="2" width="15.109375" customWidth="1"/>
    <col min="3" max="8" width="15.5546875" customWidth="1"/>
  </cols>
  <sheetData>
    <row r="1" spans="1:8" x14ac:dyDescent="0.3">
      <c r="A1" s="114" t="s">
        <v>41</v>
      </c>
      <c r="B1" s="115"/>
      <c r="C1" s="115"/>
      <c r="D1" s="115"/>
      <c r="E1" s="115"/>
      <c r="F1" s="115"/>
      <c r="G1" s="115"/>
      <c r="H1" s="116"/>
    </row>
    <row r="2" spans="1:8" x14ac:dyDescent="0.3">
      <c r="A2" s="2" t="s">
        <v>42</v>
      </c>
      <c r="C2" t="s">
        <v>43</v>
      </c>
      <c r="F2" t="s">
        <v>44</v>
      </c>
      <c r="H2" s="3" t="s">
        <v>45</v>
      </c>
    </row>
    <row r="3" spans="1:8" x14ac:dyDescent="0.3">
      <c r="A3" s="2" t="s">
        <v>46</v>
      </c>
      <c r="C3" t="s">
        <v>47</v>
      </c>
      <c r="F3" t="s">
        <v>48</v>
      </c>
      <c r="H3" s="3" t="s">
        <v>49</v>
      </c>
    </row>
    <row r="4" spans="1:8" x14ac:dyDescent="0.3">
      <c r="A4" s="2" t="s">
        <v>50</v>
      </c>
      <c r="C4" t="s">
        <v>51</v>
      </c>
      <c r="F4" t="s">
        <v>52</v>
      </c>
      <c r="H4" s="3"/>
    </row>
    <row r="5" spans="1:8" x14ac:dyDescent="0.3">
      <c r="A5" s="117" t="s">
        <v>53</v>
      </c>
      <c r="B5" s="110"/>
      <c r="C5" s="110"/>
      <c r="D5" s="110"/>
      <c r="E5" s="110"/>
      <c r="F5" s="110"/>
      <c r="G5" s="110"/>
      <c r="H5" s="111"/>
    </row>
    <row r="6" spans="1:8" x14ac:dyDescent="0.3">
      <c r="A6" s="108" t="s">
        <v>54</v>
      </c>
      <c r="B6" s="112" t="s">
        <v>55</v>
      </c>
      <c r="C6" s="110" t="s">
        <v>56</v>
      </c>
      <c r="D6" s="110"/>
      <c r="E6" s="110"/>
      <c r="F6" s="110"/>
      <c r="G6" s="110"/>
      <c r="H6" s="111"/>
    </row>
    <row r="7" spans="1:8" ht="15" thickBot="1" x14ac:dyDescent="0.35">
      <c r="A7" s="109"/>
      <c r="B7" s="113"/>
      <c r="C7" s="1">
        <v>150</v>
      </c>
      <c r="D7" s="1">
        <v>300</v>
      </c>
      <c r="E7" s="21">
        <v>600</v>
      </c>
      <c r="F7" s="21">
        <v>900</v>
      </c>
      <c r="G7" s="21">
        <v>1500</v>
      </c>
      <c r="H7" s="22">
        <v>2500</v>
      </c>
    </row>
    <row r="8" spans="1:8" ht="15" hidden="1" thickBot="1" x14ac:dyDescent="0.35">
      <c r="A8" s="20"/>
      <c r="B8" s="19"/>
      <c r="C8" s="7">
        <v>19.600000000000001</v>
      </c>
      <c r="D8" s="7">
        <v>51.1</v>
      </c>
      <c r="E8" s="7">
        <v>102.1</v>
      </c>
      <c r="F8" s="7">
        <v>153.19999999999999</v>
      </c>
      <c r="G8" s="7">
        <v>255.3</v>
      </c>
      <c r="H8" s="8">
        <v>425.5</v>
      </c>
    </row>
    <row r="9" spans="1:8" x14ac:dyDescent="0.3">
      <c r="A9" s="17" t="s">
        <v>57</v>
      </c>
      <c r="B9" s="10" t="s">
        <v>58</v>
      </c>
      <c r="C9" s="11">
        <f>ROUND(C8*1.5,0)</f>
        <v>29</v>
      </c>
      <c r="D9" s="11">
        <f>ROUND(D8*1.5,0)</f>
        <v>77</v>
      </c>
      <c r="E9" s="11">
        <f t="shared" ref="E9:H9" si="0">ROUND(E8*1.5,0)</f>
        <v>153</v>
      </c>
      <c r="F9" s="11">
        <f t="shared" si="0"/>
        <v>230</v>
      </c>
      <c r="G9" s="11">
        <f t="shared" si="0"/>
        <v>383</v>
      </c>
      <c r="H9" s="12">
        <f t="shared" si="0"/>
        <v>638</v>
      </c>
    </row>
    <row r="10" spans="1:8" ht="15" thickBot="1" x14ac:dyDescent="0.35">
      <c r="A10" s="18" t="s">
        <v>59</v>
      </c>
      <c r="B10" s="14" t="s">
        <v>58</v>
      </c>
      <c r="C10" s="15">
        <f>ROUND(C8*1.1,0)</f>
        <v>22</v>
      </c>
      <c r="D10" s="15">
        <f>ROUND(D8*1.1,0)</f>
        <v>56</v>
      </c>
      <c r="E10" s="15">
        <f t="shared" ref="E10:H10" si="1">ROUND(E8*1.1,0)</f>
        <v>112</v>
      </c>
      <c r="F10" s="15">
        <f t="shared" si="1"/>
        <v>169</v>
      </c>
      <c r="G10" s="15">
        <f t="shared" si="1"/>
        <v>281</v>
      </c>
      <c r="H10" s="16">
        <f t="shared" si="1"/>
        <v>468</v>
      </c>
    </row>
    <row r="11" spans="1:8" x14ac:dyDescent="0.3">
      <c r="A11" s="2" t="s">
        <v>60</v>
      </c>
      <c r="H11" s="3"/>
    </row>
    <row r="12" spans="1:8" x14ac:dyDescent="0.3">
      <c r="A12" s="105" t="s">
        <v>61</v>
      </c>
      <c r="B12" s="106"/>
      <c r="C12" s="106"/>
      <c r="D12" s="106"/>
      <c r="E12" s="106"/>
      <c r="F12" s="106"/>
      <c r="G12" s="106"/>
      <c r="H12" s="107"/>
    </row>
    <row r="13" spans="1:8" x14ac:dyDescent="0.3">
      <c r="A13" s="105"/>
      <c r="B13" s="106"/>
      <c r="C13" s="106"/>
      <c r="D13" s="106"/>
      <c r="E13" s="106"/>
      <c r="F13" s="106"/>
      <c r="G13" s="106"/>
      <c r="H13" s="107"/>
    </row>
    <row r="14" spans="1:8" x14ac:dyDescent="0.3">
      <c r="A14" s="2" t="s">
        <v>62</v>
      </c>
      <c r="H14" s="3"/>
    </row>
    <row r="15" spans="1:8" x14ac:dyDescent="0.3">
      <c r="A15" s="2" t="s">
        <v>63</v>
      </c>
      <c r="H15" s="3"/>
    </row>
    <row r="16" spans="1:8" x14ac:dyDescent="0.3">
      <c r="A16" s="2" t="s">
        <v>64</v>
      </c>
      <c r="H16" s="3"/>
    </row>
    <row r="17" spans="1:8" x14ac:dyDescent="0.3">
      <c r="A17" s="2" t="s">
        <v>65</v>
      </c>
      <c r="H17" s="3"/>
    </row>
    <row r="18" spans="1:8" ht="15" thickBot="1" x14ac:dyDescent="0.35">
      <c r="A18" s="4" t="s">
        <v>66</v>
      </c>
      <c r="B18" s="5"/>
      <c r="C18" s="5"/>
      <c r="D18" s="5"/>
      <c r="E18" s="5"/>
      <c r="F18" s="5"/>
      <c r="G18" s="5"/>
      <c r="H18" s="6"/>
    </row>
  </sheetData>
  <mergeCells count="6">
    <mergeCell ref="A12:H13"/>
    <mergeCell ref="A6:A7"/>
    <mergeCell ref="C6:H6"/>
    <mergeCell ref="B6:B7"/>
    <mergeCell ref="A1:H1"/>
    <mergeCell ref="A5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Normal="100" workbookViewId="0">
      <selection activeCell="E15" sqref="E15"/>
    </sheetView>
  </sheetViews>
  <sheetFormatPr baseColWidth="10" defaultColWidth="11.44140625" defaultRowHeight="14.4" x14ac:dyDescent="0.3"/>
  <cols>
    <col min="1" max="1" width="15.5546875" customWidth="1"/>
    <col min="2" max="2" width="15.109375" customWidth="1"/>
    <col min="3" max="8" width="15.5546875" customWidth="1"/>
  </cols>
  <sheetData>
    <row r="1" spans="1:8" x14ac:dyDescent="0.3">
      <c r="A1" s="114" t="s">
        <v>67</v>
      </c>
      <c r="B1" s="115"/>
      <c r="C1" s="115"/>
      <c r="D1" s="115"/>
      <c r="E1" s="115"/>
      <c r="F1" s="115"/>
      <c r="G1" s="115"/>
      <c r="H1" s="116"/>
    </row>
    <row r="2" spans="1:8" x14ac:dyDescent="0.3">
      <c r="A2" s="2" t="s">
        <v>68</v>
      </c>
      <c r="C2" t="s">
        <v>69</v>
      </c>
      <c r="F2" t="s">
        <v>70</v>
      </c>
      <c r="H2" s="3" t="s">
        <v>71</v>
      </c>
    </row>
    <row r="3" spans="1:8" x14ac:dyDescent="0.3">
      <c r="A3" s="2" t="s">
        <v>72</v>
      </c>
      <c r="C3" t="s">
        <v>73</v>
      </c>
      <c r="F3" t="s">
        <v>74</v>
      </c>
      <c r="H3" s="3" t="s">
        <v>75</v>
      </c>
    </row>
    <row r="4" spans="1:8" x14ac:dyDescent="0.3">
      <c r="A4" s="2" t="s">
        <v>76</v>
      </c>
      <c r="C4" t="s">
        <v>77</v>
      </c>
      <c r="F4" t="s">
        <v>78</v>
      </c>
      <c r="H4" s="3" t="s">
        <v>79</v>
      </c>
    </row>
    <row r="5" spans="1:8" x14ac:dyDescent="0.3">
      <c r="A5" s="2" t="s">
        <v>80</v>
      </c>
      <c r="C5" t="s">
        <v>81</v>
      </c>
      <c r="F5" t="s">
        <v>82</v>
      </c>
      <c r="H5" s="3" t="s">
        <v>83</v>
      </c>
    </row>
    <row r="6" spans="1:8" x14ac:dyDescent="0.3">
      <c r="A6" s="117" t="s">
        <v>53</v>
      </c>
      <c r="B6" s="110"/>
      <c r="C6" s="110"/>
      <c r="D6" s="110"/>
      <c r="E6" s="110"/>
      <c r="F6" s="110"/>
      <c r="G6" s="110"/>
      <c r="H6" s="111"/>
    </row>
    <row r="7" spans="1:8" x14ac:dyDescent="0.3">
      <c r="A7" s="108" t="s">
        <v>54</v>
      </c>
      <c r="B7" s="112" t="s">
        <v>55</v>
      </c>
      <c r="C7" s="110" t="s">
        <v>56</v>
      </c>
      <c r="D7" s="110"/>
      <c r="E7" s="110"/>
      <c r="F7" s="110"/>
      <c r="G7" s="110"/>
      <c r="H7" s="111"/>
    </row>
    <row r="8" spans="1:8" ht="15" thickBot="1" x14ac:dyDescent="0.35">
      <c r="A8" s="109"/>
      <c r="B8" s="113"/>
      <c r="C8" s="21">
        <v>150</v>
      </c>
      <c r="D8" s="21">
        <v>300</v>
      </c>
      <c r="E8" s="21">
        <v>600</v>
      </c>
      <c r="F8" s="21">
        <v>900</v>
      </c>
      <c r="G8" s="21">
        <v>1500</v>
      </c>
      <c r="H8" s="22">
        <v>2500</v>
      </c>
    </row>
    <row r="9" spans="1:8" ht="15.75" hidden="1" customHeight="1" thickBot="1" x14ac:dyDescent="0.35">
      <c r="A9" s="2"/>
      <c r="B9" s="19"/>
      <c r="C9" s="7">
        <v>19</v>
      </c>
      <c r="D9" s="7">
        <v>49.6</v>
      </c>
      <c r="E9" s="7">
        <v>99.3</v>
      </c>
      <c r="F9" s="7">
        <v>148.9</v>
      </c>
      <c r="G9" s="7">
        <v>248.2</v>
      </c>
      <c r="H9" s="8">
        <v>413.7</v>
      </c>
    </row>
    <row r="10" spans="1:8" x14ac:dyDescent="0.3">
      <c r="A10" s="9" t="s">
        <v>57</v>
      </c>
      <c r="B10" s="10" t="s">
        <v>58</v>
      </c>
      <c r="C10" s="11">
        <f>ROUND(C9*1.5,0)</f>
        <v>29</v>
      </c>
      <c r="D10" s="11">
        <f t="shared" ref="D10:H10" si="0">ROUND(D9*1.5,0)</f>
        <v>74</v>
      </c>
      <c r="E10" s="11">
        <f t="shared" si="0"/>
        <v>149</v>
      </c>
      <c r="F10" s="11">
        <f t="shared" si="0"/>
        <v>223</v>
      </c>
      <c r="G10" s="11">
        <f t="shared" si="0"/>
        <v>372</v>
      </c>
      <c r="H10" s="12">
        <f t="shared" si="0"/>
        <v>621</v>
      </c>
    </row>
    <row r="11" spans="1:8" ht="15" thickBot="1" x14ac:dyDescent="0.35">
      <c r="A11" s="13" t="s">
        <v>59</v>
      </c>
      <c r="B11" s="14" t="s">
        <v>58</v>
      </c>
      <c r="C11" s="15">
        <f>ROUND(C9*1.1,0)</f>
        <v>21</v>
      </c>
      <c r="D11" s="15">
        <f t="shared" ref="D11:H11" si="1">ROUND(D9*1.1,0)</f>
        <v>55</v>
      </c>
      <c r="E11" s="15">
        <f t="shared" si="1"/>
        <v>109</v>
      </c>
      <c r="F11" s="15">
        <f t="shared" si="1"/>
        <v>164</v>
      </c>
      <c r="G11" s="15">
        <f t="shared" si="1"/>
        <v>273</v>
      </c>
      <c r="H11" s="16">
        <f t="shared" si="1"/>
        <v>455</v>
      </c>
    </row>
    <row r="12" spans="1:8" x14ac:dyDescent="0.3">
      <c r="A12" s="2" t="s">
        <v>60</v>
      </c>
      <c r="H12" s="3"/>
    </row>
    <row r="13" spans="1:8" x14ac:dyDescent="0.3">
      <c r="A13" s="2" t="s">
        <v>84</v>
      </c>
      <c r="H13" s="3"/>
    </row>
    <row r="14" spans="1:8" ht="15" thickBot="1" x14ac:dyDescent="0.35">
      <c r="A14" s="4" t="s">
        <v>85</v>
      </c>
      <c r="B14" s="5"/>
      <c r="C14" s="5"/>
      <c r="D14" s="5"/>
      <c r="E14" s="5"/>
      <c r="F14" s="5"/>
      <c r="G14" s="5"/>
      <c r="H14" s="6"/>
    </row>
  </sheetData>
  <mergeCells count="5">
    <mergeCell ref="A7:A8"/>
    <mergeCell ref="A1:H1"/>
    <mergeCell ref="A6:H6"/>
    <mergeCell ref="B7:B8"/>
    <mergeCell ref="C7:H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workbookViewId="0">
      <selection activeCell="G26" sqref="G26"/>
    </sheetView>
  </sheetViews>
  <sheetFormatPr baseColWidth="10" defaultColWidth="11.44140625" defaultRowHeight="14.4" x14ac:dyDescent="0.3"/>
  <cols>
    <col min="1" max="2" width="16.5546875" customWidth="1"/>
    <col min="3" max="3" width="17.6640625" customWidth="1"/>
  </cols>
  <sheetData>
    <row r="1" spans="1:3" x14ac:dyDescent="0.3">
      <c r="A1" s="120" t="s">
        <v>86</v>
      </c>
      <c r="B1" s="121"/>
      <c r="C1" s="122"/>
    </row>
    <row r="2" spans="1:3" x14ac:dyDescent="0.3">
      <c r="A2" s="118" t="s">
        <v>87</v>
      </c>
      <c r="B2" s="119"/>
      <c r="C2" s="23" t="s">
        <v>88</v>
      </c>
    </row>
    <row r="3" spans="1:3" x14ac:dyDescent="0.3">
      <c r="A3" s="27" t="s">
        <v>89</v>
      </c>
      <c r="B3" s="28" t="s">
        <v>90</v>
      </c>
      <c r="C3" s="24" t="s">
        <v>91</v>
      </c>
    </row>
    <row r="4" spans="1:3" x14ac:dyDescent="0.3">
      <c r="A4" s="29" t="s">
        <v>92</v>
      </c>
      <c r="B4" s="30" t="s">
        <v>93</v>
      </c>
      <c r="C4" s="25">
        <v>2</v>
      </c>
    </row>
    <row r="5" spans="1:3" x14ac:dyDescent="0.3">
      <c r="A5" s="29" t="s">
        <v>94</v>
      </c>
      <c r="B5" s="30" t="s">
        <v>95</v>
      </c>
      <c r="C5" s="25">
        <v>5</v>
      </c>
    </row>
    <row r="6" spans="1:3" x14ac:dyDescent="0.3">
      <c r="A6" s="29" t="s">
        <v>96</v>
      </c>
      <c r="B6" s="30" t="s">
        <v>97</v>
      </c>
      <c r="C6" s="25">
        <v>15</v>
      </c>
    </row>
    <row r="7" spans="1:3" ht="15" thickBot="1" x14ac:dyDescent="0.35">
      <c r="A7" s="31" t="s">
        <v>98</v>
      </c>
      <c r="B7" s="32" t="s">
        <v>99</v>
      </c>
      <c r="C7" s="26">
        <v>30</v>
      </c>
    </row>
  </sheetData>
  <mergeCells count="2">
    <mergeCell ref="A2:B2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19" sqref="C19"/>
    </sheetView>
  </sheetViews>
  <sheetFormatPr baseColWidth="10" defaultColWidth="11.44140625" defaultRowHeight="14.4" x14ac:dyDescent="0.3"/>
  <cols>
    <col min="1" max="2" width="16.5546875" customWidth="1"/>
    <col min="3" max="3" width="17.44140625" customWidth="1"/>
  </cols>
  <sheetData>
    <row r="1" spans="1:3" x14ac:dyDescent="0.3">
      <c r="A1" s="120" t="s">
        <v>100</v>
      </c>
      <c r="B1" s="121"/>
      <c r="C1" s="122"/>
    </row>
    <row r="2" spans="1:3" x14ac:dyDescent="0.3">
      <c r="A2" s="118" t="s">
        <v>87</v>
      </c>
      <c r="B2" s="119"/>
      <c r="C2" s="23" t="s">
        <v>88</v>
      </c>
    </row>
    <row r="3" spans="1:3" x14ac:dyDescent="0.3">
      <c r="A3" s="27" t="s">
        <v>89</v>
      </c>
      <c r="B3" s="28" t="s">
        <v>90</v>
      </c>
      <c r="C3" s="24" t="s">
        <v>91</v>
      </c>
    </row>
    <row r="4" spans="1:3" x14ac:dyDescent="0.3">
      <c r="A4" s="29" t="s">
        <v>92</v>
      </c>
      <c r="B4" s="30" t="s">
        <v>101</v>
      </c>
      <c r="C4" s="25">
        <v>2</v>
      </c>
    </row>
    <row r="5" spans="1:3" ht="15" thickBot="1" x14ac:dyDescent="0.35">
      <c r="A5" s="31" t="s">
        <v>102</v>
      </c>
      <c r="B5" s="32" t="s">
        <v>103</v>
      </c>
      <c r="C5" s="26">
        <v>5</v>
      </c>
    </row>
  </sheetData>
  <mergeCells count="2">
    <mergeCell ref="A1:C1"/>
    <mergeCell ref="A2:B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66654BD8-4DA3-47BF-9A85-D28E23240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1AD1B6-4629-4A44-9B00-8CB66441345E}"/>
</file>

<file path=customXml/itemProps3.xml><?xml version="1.0" encoding="utf-8"?>
<ds:datastoreItem xmlns:ds="http://schemas.openxmlformats.org/officeDocument/2006/customXml" ds:itemID="{92AC0E05-9540-433F-9196-D8875611371F}">
  <ds:schemaRefs>
    <ds:schemaRef ds:uri="http://schemas.microsoft.com/office/2006/metadata/properties"/>
    <ds:schemaRef ds:uri="http://schemas.microsoft.com/office/infopath/2007/PartnerControls"/>
    <ds:schemaRef ds:uri="b8f0e9f5-d76e-4522-9332-4941031e40e6"/>
    <ds:schemaRef ds:uri="828d6975-905d-4186-bdd1-cb784d202e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AR-4-ICUM-Q-P-Pr-11-F-1</vt:lpstr>
      <vt:lpstr>B16.34 Table 2-1.1</vt:lpstr>
      <vt:lpstr>B16.34 Table 2-2.1</vt:lpstr>
      <vt:lpstr>API 6D Tabla 10</vt:lpstr>
      <vt:lpstr>API 6D Tabla 9</vt:lpstr>
      <vt:lpstr>'AR-4-ICUM-Q-P-Pr-11-F-1'!Área_de_impresión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Gerardo</dc:creator>
  <cp:keywords/>
  <dc:description/>
  <cp:lastModifiedBy>Umile, Nicolas Alberto</cp:lastModifiedBy>
  <cp:revision/>
  <dcterms:created xsi:type="dcterms:W3CDTF">2019-03-08T14:50:00Z</dcterms:created>
  <dcterms:modified xsi:type="dcterms:W3CDTF">2025-04-14T19:07:34Z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