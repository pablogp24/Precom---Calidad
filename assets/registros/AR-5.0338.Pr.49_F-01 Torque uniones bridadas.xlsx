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BAT_01MTO_LAJE/Documentos compartidos/General/CALIDAD/PIE - APROB X YPF/SOPORTES PIE/06_P-Piping/AR-5.0328.Pr.32_Rev A Torque de Juntas Bridadas/formulario/"/>
    </mc:Choice>
  </mc:AlternateContent>
  <xr:revisionPtr revIDLastSave="51" documentId="8_{57C3E203-F58B-4658-9550-888EDF749DB0}" xr6:coauthVersionLast="47" xr6:coauthVersionMax="47" xr10:uidLastSave="{367E9E03-153C-4CC9-8A91-193890E42760}"/>
  <bookViews>
    <workbookView xWindow="-120" yWindow="-120" windowWidth="20730" windowHeight="11160" xr2:uid="{00000000-000D-0000-FFFF-FFFF00000000}"/>
  </bookViews>
  <sheets>
    <sheet name="AR-5.0328.Pr.32_F-01" sheetId="37" r:id="rId1"/>
    <sheet name="ORIGINAL" sheetId="38" r:id="rId2"/>
    <sheet name="RTJ Flexseal" sheetId="30" r:id="rId3"/>
    <sheet name="Hoja1" sheetId="29" r:id="rId4"/>
  </sheets>
  <definedNames>
    <definedName name="_xlnm._FilterDatabase" localSheetId="0" hidden="1">'AR-5.0328.Pr.32_F-01'!$B$16:$AN$33</definedName>
    <definedName name="_xlnm._FilterDatabase" localSheetId="2" hidden="1">'RTJ Flexseal'!$A$3:$L$3</definedName>
    <definedName name="_xlnm.Print_Area" localSheetId="0">'AR-5.0328.Pr.32_F-01'!$A$1:$AO$39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30" l="1"/>
  <c r="R8" i="30"/>
  <c r="Q9" i="30"/>
  <c r="Q8" i="30"/>
  <c r="P9" i="30"/>
  <c r="P8" i="30"/>
  <c r="O9" i="30"/>
  <c r="O8" i="30"/>
  <c r="N9" i="30"/>
  <c r="N8" i="30"/>
  <c r="M9" i="30"/>
  <c r="M8" i="30"/>
  <c r="R7" i="30"/>
  <c r="R6" i="30"/>
  <c r="Q7" i="30"/>
  <c r="Q6" i="30"/>
  <c r="P7" i="30"/>
  <c r="P6" i="30"/>
  <c r="O7" i="30"/>
  <c r="O6" i="30"/>
  <c r="N7" i="30"/>
  <c r="N6" i="30"/>
  <c r="M7" i="30"/>
  <c r="M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</calcChain>
</file>

<file path=xl/sharedStrings.xml><?xml version="1.0" encoding="utf-8"?>
<sst xmlns="http://schemas.openxmlformats.org/spreadsheetml/2006/main" count="272" uniqueCount="114">
  <si>
    <t>VERIFICACION DE JUNTAS Y ESPARRAGOS EN UNIONES BRIDADAS</t>
  </si>
  <si>
    <t>AR-5.0338.Pr.49_F-01</t>
  </si>
  <si>
    <t xml:space="preserve">Fecha: </t>
  </si>
  <si>
    <t>Revisión: 0</t>
  </si>
  <si>
    <t>Obra No.:</t>
  </si>
  <si>
    <t>Proyecto:</t>
  </si>
  <si>
    <t>DUPLICAR NORTE - UAM EB ALVS</t>
  </si>
  <si>
    <t>Cliente:</t>
  </si>
  <si>
    <t>OLDELVAL S.A.</t>
  </si>
  <si>
    <t>Plano No.:</t>
  </si>
  <si>
    <t>Linea No.:</t>
  </si>
  <si>
    <t>Sistema No.:</t>
  </si>
  <si>
    <t>_</t>
  </si>
  <si>
    <t>Recipiente:</t>
  </si>
  <si>
    <t>-</t>
  </si>
  <si>
    <t>TAG Recipiente:</t>
  </si>
  <si>
    <t>Subsistema No.:</t>
  </si>
  <si>
    <t>Junta 
Bridada No.:</t>
  </si>
  <si>
    <t>Diámetro</t>
  </si>
  <si>
    <t>Serie (#)</t>
  </si>
  <si>
    <t>Especificación de junta</t>
  </si>
  <si>
    <t>Espesor</t>
  </si>
  <si>
    <t>Diámetro                            Longitud de esparragos</t>
  </si>
  <si>
    <t>Material de esparragos</t>
  </si>
  <si>
    <t xml:space="preserve">Torque aplicado  </t>
  </si>
  <si>
    <t>Fecha de instalación</t>
  </si>
  <si>
    <t>Fecha liberación precomisionado</t>
  </si>
  <si>
    <t>Liberado por precomisionado</t>
  </si>
  <si>
    <t xml:space="preserve">Observaciones
</t>
  </si>
  <si>
    <t>REALIZADO POR</t>
  </si>
  <si>
    <t>VERIFICADO POR CALIDAD</t>
  </si>
  <si>
    <t>INSPECCIÓN</t>
  </si>
  <si>
    <t>Firma</t>
  </si>
  <si>
    <t>Fecha</t>
  </si>
  <si>
    <t>Aclaración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</si>
  <si>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</si>
  <si>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CAÑERIAS Y RECIPIENTES</t>
  </si>
  <si>
    <t>AR-5.0328.Pr.32_F-01</t>
  </si>
  <si>
    <t>ARONQPI202</t>
  </si>
  <si>
    <t>CONSTRUCCION BATERIA 01 + MTO LAJE ESTE</t>
  </si>
  <si>
    <t>YPF</t>
  </si>
  <si>
    <t>Project No.</t>
  </si>
  <si>
    <t>Project</t>
  </si>
  <si>
    <t>Client</t>
  </si>
  <si>
    <t xml:space="preserve"> </t>
  </si>
  <si>
    <t>Drawing No.</t>
  </si>
  <si>
    <t>Line No.:</t>
  </si>
  <si>
    <t>System No.</t>
  </si>
  <si>
    <t>Vessel</t>
  </si>
  <si>
    <t>TAG Vessel</t>
  </si>
  <si>
    <t>Subsystem No.</t>
  </si>
  <si>
    <t>Junta Bridada No.:</t>
  </si>
  <si>
    <t>Flanged Joint No.</t>
  </si>
  <si>
    <t>Diameter</t>
  </si>
  <si>
    <t>Class</t>
  </si>
  <si>
    <t>Gasket type and specification</t>
  </si>
  <si>
    <t>Thickness</t>
  </si>
  <si>
    <t>Diameter/Bolts Length</t>
  </si>
  <si>
    <t>Bolts Material</t>
  </si>
  <si>
    <t>Applied torque</t>
  </si>
  <si>
    <t>Installation date</t>
  </si>
  <si>
    <t>Precom'ed acceptance date</t>
  </si>
  <si>
    <t>Precom'ed acceptance by</t>
  </si>
  <si>
    <t>CARRIED OUT BY</t>
  </si>
  <si>
    <t>QUALITY CONTROL VERIFICATION</t>
  </si>
  <si>
    <t>INSPECTION ACCEPTANCE</t>
  </si>
  <si>
    <r>
      <t>El torque recomendado en relación al bulón debe ser aquel que proporcione una tensión al perno
que se encuentre entre el 40 y 60% del límite elástico del bulón. Para bulones de material B7 con un lubricante con coeficiente de fricción 0.17 se presenta la tabla de abajo.
E</t>
    </r>
    <r>
      <rPr>
        <b/>
        <sz val="10"/>
        <rFont val="Arial"/>
        <family val="2"/>
      </rPr>
      <t>n el caso de los anillos RTJ es factible utilizar una tensión de 60.000 psi y es la recomendada.</t>
    </r>
  </si>
  <si>
    <t>Diámetro nominal del perno (pulgadas)</t>
  </si>
  <si>
    <t>Diámetro nominal del perno (mm)</t>
  </si>
  <si>
    <t>Par/Torque
ft. Lbs.
(60000 psi)</t>
  </si>
  <si>
    <t>Par/Torque
Kgm
(60000 psi)</t>
  </si>
  <si>
    <t>Par/Torque
Nm
(60000 psi)</t>
  </si>
  <si>
    <t>Avanti P7
ft. Lbs.</t>
  </si>
  <si>
    <t>Avanti 1
ft. Lbs.</t>
  </si>
  <si>
    <t>Avanti 3
ft. Lbs.</t>
  </si>
  <si>
    <t>Avanti 5
ft. Lbs.</t>
  </si>
  <si>
    <t>Avanti 8
ft. Lbs.</t>
  </si>
  <si>
    <t>Avanti 10
ft. Lbs.</t>
  </si>
  <si>
    <t>Avanti 20
ft. Lbs.</t>
  </si>
  <si>
    <t>Stealth-2
ft. Lbs.</t>
  </si>
  <si>
    <t>Stealth-4
ft. Lbs.</t>
  </si>
  <si>
    <t>Stealth-8
ft. Lbs.</t>
  </si>
  <si>
    <t>Stealth-14
ft. Lbs.</t>
  </si>
  <si>
    <t>Stealth-22
ft. Lbs.</t>
  </si>
  <si>
    <t>Stealth-36
ft. Lbs.</t>
  </si>
  <si>
    <t>ft. Lbs.</t>
  </si>
  <si>
    <t>Mínimo</t>
  </si>
  <si>
    <t>Máximo</t>
  </si>
  <si>
    <t>Kgm</t>
  </si>
  <si>
    <t>TORQUE (FUERZA)</t>
  </si>
  <si>
    <t>1 NM</t>
  </si>
  <si>
    <t>1 KgM</t>
  </si>
  <si>
    <t>1 Ft Lbs</t>
  </si>
  <si>
    <t>Nm</t>
  </si>
  <si>
    <t>EJEMPLOOOOOO</t>
  </si>
  <si>
    <t>1A</t>
  </si>
  <si>
    <t>3"</t>
  </si>
  <si>
    <t>JD/ASME 16.5</t>
  </si>
  <si>
    <t>6,6 mm</t>
  </si>
  <si>
    <t>ASTM A 193 Gr. B7 ZINC.</t>
  </si>
  <si>
    <t>210(ft-lb)</t>
  </si>
  <si>
    <t>1B</t>
  </si>
  <si>
    <t>2A</t>
  </si>
  <si>
    <t>4"</t>
  </si>
  <si>
    <t>Espiralada/ASME 16.20</t>
  </si>
  <si>
    <t>4,5 mm</t>
  </si>
  <si>
    <t>2B</t>
  </si>
  <si>
    <t>10"</t>
  </si>
  <si>
    <t>7A</t>
  </si>
  <si>
    <t>7B</t>
  </si>
  <si>
    <t>1"</t>
  </si>
  <si>
    <t>7C</t>
  </si>
  <si>
    <t>7D</t>
  </si>
  <si>
    <t>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</si>
</sst>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#\ ??/16"/>
    <numFmt numFmtId="166" formatCode="0.00000"/>
  </numFmts>
  <fonts count="39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i/>
      <sz val="7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sz val="9"/>
      <color theme="4" tint="-0.499984740745262"/>
      <name val="Exo"/>
    </font>
    <font>
      <sz val="12"/>
      <color theme="4" tint="-0.499984740745262"/>
      <name val="Arial"/>
      <family val="2"/>
    </font>
    <font>
      <i/>
      <sz val="9"/>
      <color theme="4" tint="-0.499984740745262"/>
      <name val="Exo"/>
    </font>
    <font>
      <sz val="10"/>
      <color theme="4" tint="-0.499984740745262"/>
      <name val="Exo"/>
    </font>
    <font>
      <sz val="7"/>
      <color theme="4" tint="-0.499984740745262"/>
      <name val="Exo"/>
    </font>
    <font>
      <sz val="8"/>
      <color theme="4" tint="-0.499984740745262"/>
      <name val="Exo"/>
    </font>
    <font>
      <i/>
      <sz val="10"/>
      <color theme="4" tint="-0.499984740745262"/>
      <name val="Exo"/>
    </font>
    <font>
      <sz val="12"/>
      <color theme="4" tint="-0.499984740745262"/>
      <name val="Exo"/>
    </font>
    <font>
      <i/>
      <sz val="7"/>
      <color rgb="FFFF0000"/>
      <name val="Arial"/>
      <family val="2"/>
    </font>
    <font>
      <i/>
      <sz val="7"/>
      <color theme="4" tint="-0.499984740745262"/>
      <name val="Exo"/>
    </font>
    <font>
      <i/>
      <sz val="12"/>
      <color theme="4" tint="-0.499984740745262"/>
      <name val="Exo"/>
    </font>
    <font>
      <b/>
      <sz val="10"/>
      <color theme="4" tint="-0.499984740745262"/>
      <name val="Exo"/>
    </font>
    <font>
      <b/>
      <sz val="12"/>
      <color rgb="FF20335A"/>
      <name val="Exo"/>
    </font>
    <font>
      <b/>
      <i/>
      <sz val="10"/>
      <color theme="4" tint="-0.499984740745262"/>
      <name val="Exo"/>
    </font>
    <font>
      <b/>
      <i/>
      <sz val="9"/>
      <name val="Arial"/>
      <family val="2"/>
    </font>
    <font>
      <b/>
      <i/>
      <sz val="10"/>
      <name val="Arial"/>
      <family val="2"/>
    </font>
    <font>
      <b/>
      <sz val="8"/>
      <color rgb="FF002060"/>
      <name val="Arial"/>
      <family val="2"/>
    </font>
    <font>
      <b/>
      <i/>
      <sz val="10"/>
      <color rgb="FF000000"/>
      <name val="Exo"/>
    </font>
    <font>
      <b/>
      <i/>
      <sz val="9"/>
      <color rgb="FF000000"/>
      <name val="Exo"/>
    </font>
    <font>
      <b/>
      <sz val="10"/>
      <color rgb="FF000000"/>
      <name val="Ex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20335A"/>
      </bottom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/>
      <top style="thin">
        <color indexed="64"/>
      </top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indexed="64"/>
      </left>
      <right style="thin">
        <color indexed="64"/>
      </right>
      <top style="thin">
        <color rgb="FF20335A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20335A"/>
      </bottom>
      <diagonal/>
    </border>
    <border>
      <left style="thin">
        <color indexed="64"/>
      </left>
      <right style="thin">
        <color rgb="FF20335A"/>
      </right>
      <top style="thin">
        <color rgb="FF20335A"/>
      </top>
      <bottom/>
      <diagonal/>
    </border>
    <border>
      <left style="thin">
        <color indexed="64"/>
      </left>
      <right style="thin">
        <color rgb="FF20335A"/>
      </right>
      <top/>
      <bottom/>
      <diagonal/>
    </border>
    <border>
      <left style="thin">
        <color indexed="64"/>
      </left>
      <right style="thin">
        <color rgb="FF20335A"/>
      </right>
      <top/>
      <bottom style="thin">
        <color rgb="FF20335A"/>
      </bottom>
      <diagonal/>
    </border>
    <border>
      <left style="thin">
        <color indexed="64"/>
      </left>
      <right/>
      <top style="thin">
        <color rgb="FF20335A"/>
      </top>
      <bottom/>
      <diagonal/>
    </border>
    <border>
      <left/>
      <right style="thin">
        <color indexed="64"/>
      </right>
      <top style="thin">
        <color rgb="FF20335A"/>
      </top>
      <bottom/>
      <diagonal/>
    </border>
    <border>
      <left style="thin">
        <color indexed="64"/>
      </left>
      <right/>
      <top/>
      <bottom style="thin">
        <color rgb="FF20335A"/>
      </bottom>
      <diagonal/>
    </border>
    <border>
      <left/>
      <right style="thin">
        <color indexed="64"/>
      </right>
      <top/>
      <bottom style="thin">
        <color rgb="FF20335A"/>
      </bottom>
      <diagonal/>
    </border>
    <border>
      <left style="thin">
        <color rgb="FF20335A"/>
      </left>
      <right style="thin">
        <color indexed="64"/>
      </right>
      <top style="thin">
        <color rgb="FF20335A"/>
      </top>
      <bottom/>
      <diagonal/>
    </border>
    <border>
      <left style="thin">
        <color rgb="FF20335A"/>
      </left>
      <right style="thin">
        <color indexed="64"/>
      </right>
      <top/>
      <bottom/>
      <diagonal/>
    </border>
    <border>
      <left style="thin">
        <color rgb="FF20335A"/>
      </left>
      <right style="thin">
        <color indexed="64"/>
      </right>
      <top/>
      <bottom style="thin">
        <color rgb="FF20335A"/>
      </bottom>
      <diagonal/>
    </border>
  </borders>
  <cellStyleXfs count="2">
    <xf numFmtId="0" fontId="0" fillId="0" borderId="0"/>
    <xf numFmtId="0" fontId="16" fillId="0" borderId="0"/>
  </cellStyleXfs>
  <cellXfs count="23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/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16" fillId="0" borderId="10" xfId="1" applyNumberFormat="1" applyBorder="1"/>
    <xf numFmtId="166" fontId="16" fillId="0" borderId="11" xfId="1" applyNumberFormat="1" applyBorder="1"/>
    <xf numFmtId="166" fontId="16" fillId="0" borderId="12" xfId="1" applyNumberFormat="1" applyBorder="1"/>
    <xf numFmtId="166" fontId="16" fillId="0" borderId="13" xfId="1" applyNumberFormat="1" applyBorder="1"/>
    <xf numFmtId="0" fontId="17" fillId="0" borderId="14" xfId="1" applyFont="1" applyBorder="1"/>
    <xf numFmtId="0" fontId="17" fillId="0" borderId="15" xfId="1" applyFont="1" applyBorder="1"/>
    <xf numFmtId="0" fontId="17" fillId="0" borderId="16" xfId="1" applyFont="1" applyBorder="1"/>
    <xf numFmtId="0" fontId="17" fillId="0" borderId="17" xfId="1" applyFont="1" applyBorder="1"/>
    <xf numFmtId="0" fontId="17" fillId="0" borderId="18" xfId="1" applyFont="1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19" xfId="0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2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2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4" fillId="2" borderId="10" xfId="0" applyFont="1" applyFill="1" applyBorder="1" applyAlignment="1">
      <alignment horizontal="center" vertical="center" wrapText="1"/>
    </xf>
    <xf numFmtId="1" fontId="0" fillId="3" borderId="21" xfId="0" applyNumberFormat="1" applyFill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26" xfId="0" applyFont="1" applyBorder="1"/>
    <xf numFmtId="0" fontId="18" fillId="0" borderId="0" xfId="0" applyFont="1"/>
    <xf numFmtId="0" fontId="19" fillId="0" borderId="26" xfId="0" applyFont="1" applyBorder="1" applyAlignment="1">
      <alignment horizontal="left" vertical="top"/>
    </xf>
    <xf numFmtId="0" fontId="18" fillId="0" borderId="26" xfId="0" applyFont="1" applyBorder="1" applyAlignment="1">
      <alignment horizontal="left"/>
    </xf>
    <xf numFmtId="0" fontId="18" fillId="0" borderId="26" xfId="0" applyFont="1" applyBorder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/>
    <xf numFmtId="0" fontId="21" fillId="0" borderId="27" xfId="0" applyFont="1" applyBorder="1" applyAlignment="1">
      <alignment vertical="center"/>
    </xf>
    <xf numFmtId="0" fontId="22" fillId="0" borderId="28" xfId="0" applyFont="1" applyBorder="1"/>
    <xf numFmtId="0" fontId="21" fillId="0" borderId="0" xfId="0" applyFont="1" applyAlignment="1">
      <alignment vertical="center"/>
    </xf>
    <xf numFmtId="0" fontId="23" fillId="0" borderId="29" xfId="0" applyFont="1" applyBorder="1"/>
    <xf numFmtId="0" fontId="24" fillId="0" borderId="30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9" xfId="0" applyFont="1" applyBorder="1"/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4" fillId="0" borderId="31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horizontal="left" vertical="center"/>
    </xf>
    <xf numFmtId="0" fontId="22" fillId="0" borderId="33" xfId="0" applyFont="1" applyBorder="1" applyAlignment="1">
      <alignment horizontal="center" vertical="center"/>
    </xf>
    <xf numFmtId="0" fontId="22" fillId="0" borderId="26" xfId="0" applyFont="1" applyBorder="1" applyAlignment="1">
      <alignment horizontal="left" vertical="center"/>
    </xf>
    <xf numFmtId="0" fontId="22" fillId="0" borderId="26" xfId="0" applyFont="1" applyBorder="1" applyAlignment="1">
      <alignment horizontal="center" vertical="center" wrapText="1"/>
    </xf>
    <xf numFmtId="0" fontId="22" fillId="0" borderId="34" xfId="0" applyFont="1" applyBorder="1"/>
    <xf numFmtId="0" fontId="26" fillId="0" borderId="0" xfId="0" applyFont="1" applyAlignment="1">
      <alignment vertical="center"/>
    </xf>
    <xf numFmtId="0" fontId="26" fillId="0" borderId="0" xfId="0" applyFont="1"/>
    <xf numFmtId="0" fontId="23" fillId="0" borderId="35" xfId="0" applyFont="1" applyBorder="1" applyAlignment="1">
      <alignment vertical="top"/>
    </xf>
    <xf numFmtId="0" fontId="23" fillId="0" borderId="27" xfId="0" applyFont="1" applyBorder="1" applyAlignment="1">
      <alignment vertical="top"/>
    </xf>
    <xf numFmtId="0" fontId="23" fillId="0" borderId="28" xfId="0" applyFont="1" applyBorder="1" applyAlignment="1">
      <alignment vertical="top"/>
    </xf>
    <xf numFmtId="0" fontId="23" fillId="0" borderId="30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29" xfId="0" applyFont="1" applyBorder="1" applyAlignment="1">
      <alignment vertical="top"/>
    </xf>
    <xf numFmtId="0" fontId="23" fillId="0" borderId="31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3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/>
    <xf numFmtId="0" fontId="2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/>
    <xf numFmtId="0" fontId="1" fillId="0" borderId="0" xfId="0" applyFont="1"/>
    <xf numFmtId="0" fontId="28" fillId="0" borderId="36" xfId="0" applyFont="1" applyBorder="1" applyAlignment="1">
      <alignment horizontal="center" vertical="center" wrapText="1" shrinkToFit="1"/>
    </xf>
    <xf numFmtId="0" fontId="28" fillId="0" borderId="36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5" fillId="0" borderId="35" xfId="0" applyFont="1" applyBorder="1" applyAlignment="1">
      <alignment horizontal="left" vertical="top" wrapText="1"/>
    </xf>
    <xf numFmtId="0" fontId="25" fillId="0" borderId="27" xfId="0" applyFont="1" applyBorder="1" applyAlignment="1">
      <alignment horizontal="left" vertical="top"/>
    </xf>
    <xf numFmtId="0" fontId="25" fillId="0" borderId="28" xfId="0" applyFont="1" applyBorder="1" applyAlignment="1">
      <alignment horizontal="left" vertical="top"/>
    </xf>
    <xf numFmtId="0" fontId="25" fillId="0" borderId="30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29" xfId="0" applyFont="1" applyBorder="1" applyAlignment="1">
      <alignment horizontal="left" vertical="top"/>
    </xf>
    <xf numFmtId="0" fontId="25" fillId="0" borderId="31" xfId="0" applyFont="1" applyBorder="1" applyAlignment="1">
      <alignment horizontal="left" vertical="top"/>
    </xf>
    <xf numFmtId="0" fontId="25" fillId="0" borderId="26" xfId="0" applyFont="1" applyBorder="1" applyAlignment="1">
      <alignment horizontal="left" vertical="top"/>
    </xf>
    <xf numFmtId="0" fontId="25" fillId="0" borderId="34" xfId="0" applyFont="1" applyBorder="1" applyAlignment="1">
      <alignment horizontal="left" vertical="top"/>
    </xf>
    <xf numFmtId="0" fontId="28" fillId="0" borderId="36" xfId="0" applyFont="1" applyBorder="1" applyAlignment="1">
      <alignment horizontal="center" vertical="center" shrinkToFit="1"/>
    </xf>
    <xf numFmtId="164" fontId="28" fillId="0" borderId="36" xfId="0" applyNumberFormat="1" applyFont="1" applyBorder="1" applyAlignment="1">
      <alignment horizontal="center" vertical="center"/>
    </xf>
    <xf numFmtId="14" fontId="25" fillId="0" borderId="36" xfId="0" applyNumberFormat="1" applyFont="1" applyBorder="1" applyAlignment="1">
      <alignment horizontal="center" vertical="center"/>
    </xf>
    <xf numFmtId="4" fontId="28" fillId="0" borderId="36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8" fillId="0" borderId="0" xfId="0" applyFont="1" applyAlignment="1">
      <alignment horizontal="left" wrapText="1"/>
    </xf>
    <xf numFmtId="0" fontId="24" fillId="0" borderId="26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center"/>
    </xf>
    <xf numFmtId="0" fontId="22" fillId="0" borderId="3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164" fontId="12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 shrinkToFit="1"/>
    </xf>
    <xf numFmtId="0" fontId="12" fillId="0" borderId="9" xfId="0" applyFont="1" applyBorder="1" applyAlignment="1">
      <alignment horizontal="center" vertical="center" wrapText="1" shrinkToFit="1"/>
    </xf>
    <xf numFmtId="0" fontId="12" fillId="0" borderId="24" xfId="0" applyFont="1" applyBorder="1" applyAlignment="1">
      <alignment horizontal="center" vertical="center" wrapText="1" shrinkToFit="1"/>
    </xf>
    <xf numFmtId="164" fontId="9" fillId="0" borderId="10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161925</xdr:colOff>
      <xdr:row>0</xdr:row>
      <xdr:rowOff>104775</xdr:rowOff>
    </xdr:from>
    <xdr:to>
      <xdr:col>39</xdr:col>
      <xdr:colOff>114300</xdr:colOff>
      <xdr:row>2</xdr:row>
      <xdr:rowOff>241300</xdr:rowOff>
    </xdr:to>
    <xdr:pic>
      <xdr:nvPicPr>
        <xdr:cNvPr id="58475" name="Imagen 2">
          <a:extLst>
            <a:ext uri="{FF2B5EF4-FFF2-40B4-BE49-F238E27FC236}">
              <a16:creationId xmlns:a16="http://schemas.microsoft.com/office/drawing/2014/main" id="{CE234FEC-6B82-5AAE-9DDB-5D977AB41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7000875" y="104775"/>
          <a:ext cx="26479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104318</xdr:colOff>
      <xdr:row>1</xdr:row>
      <xdr:rowOff>17807</xdr:rowOff>
    </xdr:from>
    <xdr:to>
      <xdr:col>27</xdr:col>
      <xdr:colOff>24848</xdr:colOff>
      <xdr:row>1</xdr:row>
      <xdr:rowOff>17807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5ECDB8F-2F1E-EEFD-2D6C-2CD8803375E1}"/>
            </a:ext>
          </a:extLst>
        </xdr:cNvPr>
        <xdr:cNvCxnSpPr/>
      </xdr:nvCxnSpPr>
      <xdr:spPr>
        <a:xfrm flipH="1">
          <a:off x="134625" y="359841"/>
          <a:ext cx="6739564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19050</xdr:rowOff>
    </xdr:from>
    <xdr:to>
      <xdr:col>7</xdr:col>
      <xdr:colOff>190500</xdr:colOff>
      <xdr:row>4</xdr:row>
      <xdr:rowOff>9525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4AB5FC6-5A08-45F0-A4C9-9D13EA7A4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28600"/>
          <a:ext cx="11049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21981</xdr:colOff>
      <xdr:row>27</xdr:row>
      <xdr:rowOff>145807</xdr:rowOff>
    </xdr:from>
    <xdr:to>
      <xdr:col>8</xdr:col>
      <xdr:colOff>699721</xdr:colOff>
      <xdr:row>49</xdr:row>
      <xdr:rowOff>98914</xdr:rowOff>
    </xdr:to>
    <xdr:pic>
      <xdr:nvPicPr>
        <xdr:cNvPr id="31884" name="Imagen 1">
          <a:extLst>
            <a:ext uri="{FF2B5EF4-FFF2-40B4-BE49-F238E27FC236}">
              <a16:creationId xmlns:a16="http://schemas.microsoft.com/office/drawing/2014/main" id="{81857191-CAA8-8356-F625-BA2C0532C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962" y="5750903"/>
          <a:ext cx="6099663" cy="3499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19050</xdr:rowOff>
    </xdr:from>
    <xdr:to>
      <xdr:col>7</xdr:col>
      <xdr:colOff>190500</xdr:colOff>
      <xdr:row>4</xdr:row>
      <xdr:rowOff>9525</xdr:rowOff>
    </xdr:to>
    <xdr:pic>
      <xdr:nvPicPr>
        <xdr:cNvPr id="30855" name="1 Imagen">
          <a:extLst>
            <a:ext uri="{FF2B5EF4-FFF2-40B4-BE49-F238E27FC236}">
              <a16:creationId xmlns:a16="http://schemas.microsoft.com/office/drawing/2014/main" id="{0D7CABFD-113E-2001-6215-C5B7DE161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28600"/>
          <a:ext cx="11049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Q39"/>
  <sheetViews>
    <sheetView showGridLines="0" tabSelected="1" view="pageBreakPreview" zoomScale="115" zoomScaleNormal="115" zoomScaleSheetLayoutView="115" workbookViewId="0">
      <selection activeCell="N14" sqref="N14"/>
    </sheetView>
  </sheetViews>
  <sheetFormatPr defaultColWidth="2.85546875" defaultRowHeight="15" customHeight="1"/>
  <cols>
    <col min="1" max="1" width="0.42578125" style="1" customWidth="1"/>
    <col min="2" max="2" width="10.28515625" style="1" bestFit="1" customWidth="1"/>
    <col min="3" max="4" width="2.85546875" style="1" customWidth="1"/>
    <col min="5" max="5" width="3.140625" style="1" customWidth="1"/>
    <col min="6" max="7" width="2.85546875" style="1" customWidth="1"/>
    <col min="8" max="10" width="3.5703125" style="1" customWidth="1"/>
    <col min="11" max="14" width="4.28515625" style="1" customWidth="1"/>
    <col min="15" max="15" width="2.85546875" style="1" customWidth="1"/>
    <col min="16" max="16" width="4.85546875" style="1" customWidth="1"/>
    <col min="17" max="17" width="2.85546875" style="1" customWidth="1"/>
    <col min="18" max="22" width="3.28515625" style="1" customWidth="1"/>
    <col min="23" max="25" width="5.5703125" style="1" customWidth="1"/>
    <col min="26" max="32" width="2.85546875" style="1" customWidth="1"/>
    <col min="33" max="36" width="3.42578125" style="1" customWidth="1"/>
    <col min="37" max="40" width="4.140625" style="1" customWidth="1"/>
    <col min="41" max="41" width="0.42578125" style="1" customWidth="1"/>
    <col min="42" max="42" width="2.85546875" style="1"/>
    <col min="43" max="43" width="3.42578125" style="1" bestFit="1" customWidth="1"/>
    <col min="44" max="16384" width="2.85546875" style="1"/>
  </cols>
  <sheetData>
    <row r="1" spans="2:41" ht="27" customHeight="1">
      <c r="B1" s="179" t="s">
        <v>0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2:41" ht="22.5" customHeight="1">
      <c r="B2" s="177" t="s">
        <v>1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</row>
    <row r="3" spans="2:41" ht="20.25" customHeight="1">
      <c r="B3" s="178" t="s">
        <v>2</v>
      </c>
      <c r="C3" s="178"/>
      <c r="D3" s="178"/>
      <c r="E3" s="178"/>
      <c r="F3" s="178"/>
      <c r="G3" s="178"/>
      <c r="H3" s="178"/>
      <c r="I3" s="178"/>
      <c r="J3" s="178"/>
      <c r="K3" s="64" t="s">
        <v>3</v>
      </c>
      <c r="L3" s="65"/>
      <c r="M3" s="65"/>
      <c r="N3" s="65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2"/>
    </row>
    <row r="4" spans="2:41" ht="0.75" customHeight="1">
      <c r="B4" s="67"/>
      <c r="C4" s="67"/>
      <c r="D4" s="67"/>
      <c r="E4" s="67"/>
      <c r="F4" s="67"/>
      <c r="G4" s="67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9"/>
      <c r="AJ4" s="69"/>
      <c r="AK4" s="69"/>
      <c r="AL4" s="69"/>
      <c r="AM4" s="69"/>
      <c r="AN4" s="69"/>
    </row>
    <row r="5" spans="2:41" ht="3" customHeight="1">
      <c r="B5" s="67"/>
      <c r="C5" s="67"/>
      <c r="D5" s="67"/>
      <c r="E5" s="67"/>
      <c r="F5" s="67"/>
      <c r="G5" s="67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9"/>
      <c r="AJ5" s="69"/>
      <c r="AK5" s="69"/>
      <c r="AL5" s="69"/>
      <c r="AM5" s="69"/>
      <c r="AN5" s="69"/>
    </row>
    <row r="6" spans="2:41" s="3" customFormat="1" ht="12.75">
      <c r="B6" s="180" t="s">
        <v>4</v>
      </c>
      <c r="C6" s="182">
        <v>4700001705</v>
      </c>
      <c r="D6" s="182"/>
      <c r="E6" s="182"/>
      <c r="F6" s="182"/>
      <c r="G6" s="182"/>
      <c r="H6" s="182"/>
      <c r="I6" s="182"/>
      <c r="J6" s="182"/>
      <c r="K6" s="182"/>
      <c r="L6" s="168" t="s">
        <v>5</v>
      </c>
      <c r="M6" s="168"/>
      <c r="N6" s="172" t="s">
        <v>6</v>
      </c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70"/>
      <c r="AA6" s="168" t="s">
        <v>7</v>
      </c>
      <c r="AB6" s="168"/>
      <c r="AC6" s="168"/>
      <c r="AD6" s="174" t="s">
        <v>8</v>
      </c>
      <c r="AE6" s="174"/>
      <c r="AF6" s="174"/>
      <c r="AG6" s="174"/>
      <c r="AH6" s="174"/>
      <c r="AI6" s="174"/>
      <c r="AJ6" s="174"/>
      <c r="AK6" s="174"/>
      <c r="AL6" s="174"/>
      <c r="AM6" s="174"/>
      <c r="AN6" s="71"/>
      <c r="AO6" s="40"/>
    </row>
    <row r="7" spans="2:41" s="5" customFormat="1" ht="10.5" customHeight="1">
      <c r="B7" s="181"/>
      <c r="C7" s="183"/>
      <c r="D7" s="183"/>
      <c r="E7" s="183"/>
      <c r="F7" s="183"/>
      <c r="G7" s="183"/>
      <c r="H7" s="183"/>
      <c r="I7" s="183"/>
      <c r="J7" s="183"/>
      <c r="K7" s="183"/>
      <c r="L7" s="169"/>
      <c r="M7" s="169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72"/>
      <c r="AA7" s="169"/>
      <c r="AB7" s="169"/>
      <c r="AC7" s="169"/>
      <c r="AD7" s="175"/>
      <c r="AE7" s="176"/>
      <c r="AF7" s="176"/>
      <c r="AG7" s="176"/>
      <c r="AH7" s="176"/>
      <c r="AI7" s="175"/>
      <c r="AJ7" s="176"/>
      <c r="AK7" s="176"/>
      <c r="AL7" s="176"/>
      <c r="AM7" s="176"/>
      <c r="AN7" s="73"/>
    </row>
    <row r="8" spans="2:41" s="3" customFormat="1" ht="3.75" customHeight="1">
      <c r="B8" s="74"/>
      <c r="C8" s="75"/>
      <c r="D8" s="75"/>
      <c r="E8" s="75"/>
      <c r="F8" s="76"/>
      <c r="G8" s="77"/>
      <c r="H8" s="77"/>
      <c r="I8" s="77"/>
      <c r="J8" s="77"/>
      <c r="K8" s="77"/>
      <c r="L8" s="78"/>
      <c r="M8" s="78"/>
      <c r="N8" s="78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9"/>
      <c r="AC8" s="79"/>
      <c r="AD8" s="79"/>
      <c r="AE8" s="80"/>
      <c r="AF8" s="80"/>
      <c r="AG8" s="80"/>
      <c r="AH8" s="80"/>
      <c r="AI8" s="81"/>
      <c r="AJ8" s="80"/>
      <c r="AK8" s="80"/>
      <c r="AL8" s="80"/>
      <c r="AM8" s="80"/>
      <c r="AN8" s="82"/>
      <c r="AO8" s="40"/>
    </row>
    <row r="9" spans="2:41" s="3" customFormat="1" ht="16.5" customHeight="1">
      <c r="B9" s="181" t="s">
        <v>9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83"/>
      <c r="R9" s="78" t="s">
        <v>10</v>
      </c>
      <c r="S9" s="84"/>
      <c r="T9" s="84"/>
      <c r="U9" s="133"/>
      <c r="V9" s="133"/>
      <c r="W9" s="133"/>
      <c r="X9" s="133"/>
      <c r="Y9" s="133"/>
      <c r="Z9" s="83"/>
      <c r="AA9" s="169" t="s">
        <v>11</v>
      </c>
      <c r="AB9" s="169"/>
      <c r="AC9" s="169"/>
      <c r="AD9" s="169"/>
      <c r="AE9" s="184" t="s">
        <v>12</v>
      </c>
      <c r="AF9" s="184"/>
      <c r="AG9" s="184"/>
      <c r="AH9" s="184"/>
      <c r="AI9" s="184"/>
      <c r="AJ9" s="184"/>
      <c r="AK9" s="184"/>
      <c r="AL9" s="184"/>
      <c r="AM9" s="184"/>
      <c r="AN9" s="82"/>
      <c r="AO9" s="40"/>
    </row>
    <row r="10" spans="2:41" s="5" customFormat="1" ht="16.5">
      <c r="B10" s="18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83"/>
      <c r="R10" s="85"/>
      <c r="S10" s="86"/>
      <c r="T10" s="86"/>
      <c r="U10" s="133"/>
      <c r="V10" s="133"/>
      <c r="W10" s="133"/>
      <c r="X10" s="133"/>
      <c r="Y10" s="133"/>
      <c r="Z10" s="83"/>
      <c r="AA10" s="169"/>
      <c r="AB10" s="169"/>
      <c r="AC10" s="169"/>
      <c r="AD10" s="169"/>
      <c r="AE10" s="185"/>
      <c r="AF10" s="185"/>
      <c r="AG10" s="185"/>
      <c r="AH10" s="185"/>
      <c r="AI10" s="185"/>
      <c r="AJ10" s="185"/>
      <c r="AK10" s="185"/>
      <c r="AL10" s="185"/>
      <c r="AM10" s="185"/>
      <c r="AN10" s="73"/>
    </row>
    <row r="11" spans="2:41" s="3" customFormat="1" ht="16.5">
      <c r="B11" s="74"/>
      <c r="C11" s="75"/>
      <c r="D11" s="75"/>
      <c r="E11" s="75"/>
      <c r="F11" s="76"/>
      <c r="G11" s="77"/>
      <c r="H11" s="77"/>
      <c r="I11" s="77"/>
      <c r="J11" s="77"/>
      <c r="K11" s="77"/>
      <c r="L11" s="78"/>
      <c r="M11" s="78"/>
      <c r="N11" s="78"/>
      <c r="O11" s="77"/>
      <c r="P11" s="77"/>
      <c r="Q11" s="77"/>
      <c r="R11" s="77"/>
      <c r="S11" s="77"/>
      <c r="T11" s="77"/>
      <c r="U11" s="87"/>
      <c r="V11" s="87"/>
      <c r="W11" s="87"/>
      <c r="X11" s="87"/>
      <c r="Y11" s="87"/>
      <c r="Z11" s="77"/>
      <c r="AA11" s="78"/>
      <c r="AB11" s="79"/>
      <c r="AC11" s="79"/>
      <c r="AD11" s="79"/>
      <c r="AE11" s="80"/>
      <c r="AF11" s="80"/>
      <c r="AG11" s="80"/>
      <c r="AH11" s="80"/>
      <c r="AI11" s="80"/>
      <c r="AJ11" s="80"/>
      <c r="AK11" s="80"/>
      <c r="AL11" s="80"/>
      <c r="AM11" s="80"/>
      <c r="AN11" s="82"/>
      <c r="AO11" s="40"/>
    </row>
    <row r="12" spans="2:41" s="3" customFormat="1" ht="16.5">
      <c r="B12" s="181" t="s">
        <v>13</v>
      </c>
      <c r="C12" s="184" t="s">
        <v>14</v>
      </c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84" t="s">
        <v>15</v>
      </c>
      <c r="S12" s="84"/>
      <c r="T12" s="84"/>
      <c r="U12" s="84"/>
      <c r="V12" s="184" t="s">
        <v>14</v>
      </c>
      <c r="W12" s="184"/>
      <c r="X12" s="184"/>
      <c r="Y12" s="184"/>
      <c r="Z12" s="184"/>
      <c r="AA12" s="169" t="s">
        <v>16</v>
      </c>
      <c r="AB12" s="169"/>
      <c r="AC12" s="169"/>
      <c r="AD12" s="169"/>
      <c r="AE12" s="169"/>
      <c r="AF12" s="184" t="s">
        <v>14</v>
      </c>
      <c r="AG12" s="184"/>
      <c r="AH12" s="184"/>
      <c r="AI12" s="184"/>
      <c r="AJ12" s="184"/>
      <c r="AK12" s="184"/>
      <c r="AL12" s="184"/>
      <c r="AM12" s="184"/>
      <c r="AN12" s="82"/>
      <c r="AO12" s="40"/>
    </row>
    <row r="13" spans="2:41" s="5" customFormat="1" ht="10.5" customHeight="1">
      <c r="B13" s="181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85"/>
      <c r="S13" s="86"/>
      <c r="T13" s="86"/>
      <c r="U13" s="86"/>
      <c r="V13" s="185"/>
      <c r="W13" s="184"/>
      <c r="X13" s="185"/>
      <c r="Y13" s="185"/>
      <c r="Z13" s="184"/>
      <c r="AA13" s="169"/>
      <c r="AB13" s="169"/>
      <c r="AC13" s="169"/>
      <c r="AD13" s="169"/>
      <c r="AE13" s="169"/>
      <c r="AF13" s="186"/>
      <c r="AG13" s="186"/>
      <c r="AH13" s="186"/>
      <c r="AI13" s="186"/>
      <c r="AJ13" s="186"/>
      <c r="AK13" s="186"/>
      <c r="AL13" s="186"/>
      <c r="AM13" s="186"/>
      <c r="AN13" s="73"/>
    </row>
    <row r="14" spans="2:41" s="3" customFormat="1" ht="7.5" customHeight="1">
      <c r="B14" s="88"/>
      <c r="C14" s="89"/>
      <c r="D14" s="89"/>
      <c r="E14" s="89"/>
      <c r="F14" s="90"/>
      <c r="G14" s="90"/>
      <c r="H14" s="90"/>
      <c r="I14" s="90"/>
      <c r="J14" s="90"/>
      <c r="K14" s="90"/>
      <c r="L14" s="91"/>
      <c r="M14" s="91"/>
      <c r="N14" s="91"/>
      <c r="O14" s="90"/>
      <c r="P14" s="90"/>
      <c r="Q14" s="87"/>
      <c r="R14" s="87"/>
      <c r="S14" s="87"/>
      <c r="T14" s="87"/>
      <c r="U14" s="87"/>
      <c r="V14" s="92"/>
      <c r="W14" s="90"/>
      <c r="X14" s="92"/>
      <c r="Y14" s="92"/>
      <c r="Z14" s="87"/>
      <c r="AA14" s="93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5"/>
      <c r="AO14" s="40"/>
    </row>
    <row r="15" spans="2:41" ht="3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7"/>
      <c r="AH15" s="97"/>
      <c r="AI15" s="97"/>
      <c r="AJ15" s="97"/>
      <c r="AK15" s="97"/>
      <c r="AL15" s="97"/>
      <c r="AM15" s="97"/>
      <c r="AN15" s="97"/>
    </row>
    <row r="16" spans="2:41" s="3" customFormat="1" ht="11.25" customHeight="1">
      <c r="B16" s="162" t="s">
        <v>17</v>
      </c>
      <c r="C16" s="147"/>
      <c r="D16" s="147"/>
      <c r="E16" s="147" t="s">
        <v>18</v>
      </c>
      <c r="F16" s="147"/>
      <c r="G16" s="147"/>
      <c r="H16" s="147" t="s">
        <v>19</v>
      </c>
      <c r="I16" s="147"/>
      <c r="J16" s="147"/>
      <c r="K16" s="147" t="s">
        <v>20</v>
      </c>
      <c r="L16" s="147"/>
      <c r="M16" s="147"/>
      <c r="N16" s="147"/>
      <c r="O16" s="165" t="s">
        <v>21</v>
      </c>
      <c r="P16" s="165"/>
      <c r="Q16" s="165"/>
      <c r="R16" s="153" t="s">
        <v>22</v>
      </c>
      <c r="S16" s="154"/>
      <c r="T16" s="154"/>
      <c r="U16" s="154"/>
      <c r="V16" s="155"/>
      <c r="W16" s="147" t="s">
        <v>23</v>
      </c>
      <c r="X16" s="147"/>
      <c r="Y16" s="147"/>
      <c r="Z16" s="147" t="s">
        <v>24</v>
      </c>
      <c r="AA16" s="147"/>
      <c r="AB16" s="147"/>
      <c r="AC16" s="147" t="s">
        <v>25</v>
      </c>
      <c r="AD16" s="147"/>
      <c r="AE16" s="147"/>
      <c r="AF16" s="147"/>
      <c r="AG16" s="147" t="s">
        <v>26</v>
      </c>
      <c r="AH16" s="147"/>
      <c r="AI16" s="147"/>
      <c r="AJ16" s="147"/>
      <c r="AK16" s="147" t="s">
        <v>27</v>
      </c>
      <c r="AL16" s="147"/>
      <c r="AM16" s="147"/>
      <c r="AN16" s="148"/>
      <c r="AO16" s="40"/>
    </row>
    <row r="17" spans="2:43" s="3" customFormat="1" ht="11.25" customHeight="1">
      <c r="B17" s="163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66"/>
      <c r="P17" s="166"/>
      <c r="Q17" s="166"/>
      <c r="R17" s="156"/>
      <c r="S17" s="157"/>
      <c r="T17" s="157"/>
      <c r="U17" s="157"/>
      <c r="V17" s="158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50"/>
      <c r="AO17" s="40"/>
      <c r="AP17" s="40"/>
      <c r="AQ17" s="40"/>
    </row>
    <row r="18" spans="2:43" s="3" customFormat="1" ht="20.25" customHeight="1">
      <c r="B18" s="164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67"/>
      <c r="P18" s="167"/>
      <c r="Q18" s="167"/>
      <c r="R18" s="159"/>
      <c r="S18" s="160"/>
      <c r="T18" s="160"/>
      <c r="U18" s="160"/>
      <c r="V18" s="16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2"/>
      <c r="AO18" s="40"/>
      <c r="AP18" s="40"/>
      <c r="AQ18" s="40"/>
    </row>
    <row r="19" spans="2:43" ht="16.5" customHeight="1">
      <c r="B19" s="130"/>
      <c r="C19" s="130"/>
      <c r="D19" s="130"/>
      <c r="E19" s="130"/>
      <c r="F19" s="131"/>
      <c r="G19" s="131"/>
      <c r="H19" s="130"/>
      <c r="I19" s="131"/>
      <c r="J19" s="131"/>
      <c r="K19" s="128"/>
      <c r="L19" s="128"/>
      <c r="M19" s="128"/>
      <c r="N19" s="128"/>
      <c r="O19" s="129"/>
      <c r="P19" s="129"/>
      <c r="Q19" s="129"/>
      <c r="R19" s="130"/>
      <c r="S19" s="131"/>
      <c r="T19" s="131"/>
      <c r="U19" s="131"/>
      <c r="V19" s="131"/>
      <c r="W19" s="129"/>
      <c r="X19" s="129"/>
      <c r="Y19" s="129"/>
      <c r="Z19" s="143"/>
      <c r="AA19" s="143"/>
      <c r="AB19" s="143"/>
      <c r="AC19" s="144"/>
      <c r="AD19" s="144"/>
      <c r="AE19" s="144"/>
      <c r="AF19" s="144"/>
      <c r="AG19" s="144"/>
      <c r="AH19" s="144"/>
      <c r="AI19" s="144"/>
      <c r="AJ19" s="144"/>
      <c r="AK19" s="145"/>
      <c r="AL19" s="131"/>
      <c r="AM19" s="131"/>
      <c r="AN19" s="131"/>
      <c r="AQ19" s="28"/>
    </row>
    <row r="20" spans="2:43" ht="16.5" customHeight="1">
      <c r="B20" s="130"/>
      <c r="C20" s="130"/>
      <c r="D20" s="130"/>
      <c r="E20" s="130"/>
      <c r="F20" s="131"/>
      <c r="G20" s="131"/>
      <c r="H20" s="130"/>
      <c r="I20" s="131"/>
      <c r="J20" s="131"/>
      <c r="K20" s="128"/>
      <c r="L20" s="128"/>
      <c r="M20" s="128"/>
      <c r="N20" s="128"/>
      <c r="O20" s="129"/>
      <c r="P20" s="129"/>
      <c r="Q20" s="129"/>
      <c r="R20" s="130"/>
      <c r="S20" s="131"/>
      <c r="T20" s="131"/>
      <c r="U20" s="131"/>
      <c r="V20" s="131"/>
      <c r="W20" s="129"/>
      <c r="X20" s="129"/>
      <c r="Y20" s="129"/>
      <c r="Z20" s="143"/>
      <c r="AA20" s="143"/>
      <c r="AB20" s="143"/>
      <c r="AC20" s="144"/>
      <c r="AD20" s="144"/>
      <c r="AE20" s="144"/>
      <c r="AF20" s="144"/>
      <c r="AG20" s="144"/>
      <c r="AH20" s="144"/>
      <c r="AI20" s="144"/>
      <c r="AJ20" s="144"/>
      <c r="AK20" s="145"/>
      <c r="AL20" s="131"/>
      <c r="AM20" s="131"/>
      <c r="AN20" s="131"/>
      <c r="AQ20" s="28"/>
    </row>
    <row r="21" spans="2:43" ht="16.5" customHeight="1">
      <c r="B21" s="130"/>
      <c r="C21" s="130"/>
      <c r="D21" s="130"/>
      <c r="E21" s="130"/>
      <c r="F21" s="131"/>
      <c r="G21" s="131"/>
      <c r="H21" s="130"/>
      <c r="I21" s="131"/>
      <c r="J21" s="131"/>
      <c r="K21" s="128"/>
      <c r="L21" s="128"/>
      <c r="M21" s="128"/>
      <c r="N21" s="128"/>
      <c r="O21" s="129"/>
      <c r="P21" s="129"/>
      <c r="Q21" s="129"/>
      <c r="R21" s="130"/>
      <c r="S21" s="131"/>
      <c r="T21" s="131"/>
      <c r="U21" s="131"/>
      <c r="V21" s="131"/>
      <c r="W21" s="129"/>
      <c r="X21" s="129"/>
      <c r="Y21" s="129"/>
      <c r="Z21" s="143"/>
      <c r="AA21" s="143"/>
      <c r="AB21" s="143"/>
      <c r="AC21" s="144"/>
      <c r="AD21" s="144"/>
      <c r="AE21" s="144"/>
      <c r="AF21" s="144"/>
      <c r="AG21" s="144"/>
      <c r="AH21" s="144"/>
      <c r="AI21" s="144"/>
      <c r="AJ21" s="144"/>
      <c r="AK21" s="145"/>
      <c r="AL21" s="131"/>
      <c r="AM21" s="131"/>
      <c r="AN21" s="131"/>
      <c r="AQ21" s="28"/>
    </row>
    <row r="22" spans="2:43" ht="16.5" customHeight="1">
      <c r="B22" s="130"/>
      <c r="C22" s="130"/>
      <c r="D22" s="130"/>
      <c r="E22" s="130"/>
      <c r="F22" s="131"/>
      <c r="G22" s="131"/>
      <c r="H22" s="130"/>
      <c r="I22" s="131"/>
      <c r="J22" s="131"/>
      <c r="K22" s="128"/>
      <c r="L22" s="128"/>
      <c r="M22" s="128"/>
      <c r="N22" s="128"/>
      <c r="O22" s="129"/>
      <c r="P22" s="129"/>
      <c r="Q22" s="129"/>
      <c r="R22" s="130"/>
      <c r="S22" s="131"/>
      <c r="T22" s="131"/>
      <c r="U22" s="131"/>
      <c r="V22" s="131"/>
      <c r="W22" s="129"/>
      <c r="X22" s="129"/>
      <c r="Y22" s="129"/>
      <c r="Z22" s="143"/>
      <c r="AA22" s="143"/>
      <c r="AB22" s="143"/>
      <c r="AC22" s="144"/>
      <c r="AD22" s="144"/>
      <c r="AE22" s="144"/>
      <c r="AF22" s="144"/>
      <c r="AG22" s="144"/>
      <c r="AH22" s="144"/>
      <c r="AI22" s="144"/>
      <c r="AJ22" s="144"/>
      <c r="AK22" s="145"/>
      <c r="AL22" s="131"/>
      <c r="AM22" s="131"/>
      <c r="AN22" s="131"/>
      <c r="AQ22" s="28"/>
    </row>
    <row r="23" spans="2:43" ht="16.5" customHeight="1">
      <c r="B23" s="130"/>
      <c r="C23" s="130"/>
      <c r="D23" s="130"/>
      <c r="E23" s="130"/>
      <c r="F23" s="131"/>
      <c r="G23" s="131"/>
      <c r="H23" s="130"/>
      <c r="I23" s="131"/>
      <c r="J23" s="131"/>
      <c r="K23" s="128"/>
      <c r="L23" s="128"/>
      <c r="M23" s="128"/>
      <c r="N23" s="128"/>
      <c r="O23" s="129"/>
      <c r="P23" s="129"/>
      <c r="Q23" s="129"/>
      <c r="R23" s="130"/>
      <c r="S23" s="131"/>
      <c r="T23" s="131"/>
      <c r="U23" s="131"/>
      <c r="V23" s="131"/>
      <c r="W23" s="129"/>
      <c r="X23" s="129"/>
      <c r="Y23" s="129"/>
      <c r="Z23" s="143"/>
      <c r="AA23" s="143"/>
      <c r="AB23" s="143"/>
      <c r="AC23" s="144"/>
      <c r="AD23" s="144"/>
      <c r="AE23" s="144"/>
      <c r="AF23" s="144"/>
      <c r="AG23" s="144"/>
      <c r="AH23" s="144"/>
      <c r="AI23" s="144"/>
      <c r="AJ23" s="144"/>
      <c r="AK23" s="145"/>
      <c r="AL23" s="131"/>
      <c r="AM23" s="131"/>
      <c r="AN23" s="131"/>
      <c r="AQ23" s="28"/>
    </row>
    <row r="24" spans="2:43" ht="16.5" customHeight="1">
      <c r="B24" s="130"/>
      <c r="C24" s="130"/>
      <c r="D24" s="130"/>
      <c r="E24" s="130"/>
      <c r="F24" s="131"/>
      <c r="G24" s="131"/>
      <c r="H24" s="130"/>
      <c r="I24" s="131"/>
      <c r="J24" s="131"/>
      <c r="K24" s="128"/>
      <c r="L24" s="128"/>
      <c r="M24" s="128"/>
      <c r="N24" s="128"/>
      <c r="O24" s="129"/>
      <c r="P24" s="129"/>
      <c r="Q24" s="129"/>
      <c r="R24" s="130"/>
      <c r="S24" s="131"/>
      <c r="T24" s="131"/>
      <c r="U24" s="131"/>
      <c r="V24" s="131"/>
      <c r="W24" s="129"/>
      <c r="X24" s="129"/>
      <c r="Y24" s="129"/>
      <c r="Z24" s="143"/>
      <c r="AA24" s="143"/>
      <c r="AB24" s="143"/>
      <c r="AC24" s="144"/>
      <c r="AD24" s="144"/>
      <c r="AE24" s="144"/>
      <c r="AF24" s="144"/>
      <c r="AG24" s="144"/>
      <c r="AH24" s="144"/>
      <c r="AI24" s="144"/>
      <c r="AJ24" s="144"/>
      <c r="AK24" s="145"/>
      <c r="AL24" s="131"/>
      <c r="AM24" s="131"/>
      <c r="AN24" s="131"/>
      <c r="AQ24" s="28"/>
    </row>
    <row r="25" spans="2:43" ht="16.5" customHeight="1">
      <c r="B25" s="130"/>
      <c r="C25" s="130"/>
      <c r="D25" s="130"/>
      <c r="E25" s="130"/>
      <c r="F25" s="131"/>
      <c r="G25" s="131"/>
      <c r="H25" s="130"/>
      <c r="I25" s="131"/>
      <c r="J25" s="131"/>
      <c r="K25" s="128"/>
      <c r="L25" s="128"/>
      <c r="M25" s="128"/>
      <c r="N25" s="128"/>
      <c r="O25" s="146"/>
      <c r="P25" s="146"/>
      <c r="Q25" s="146"/>
      <c r="R25" s="130"/>
      <c r="S25" s="131"/>
      <c r="T25" s="131"/>
      <c r="U25" s="131"/>
      <c r="V25" s="131"/>
      <c r="W25" s="129"/>
      <c r="X25" s="129"/>
      <c r="Y25" s="129"/>
      <c r="Z25" s="143"/>
      <c r="AA25" s="143"/>
      <c r="AB25" s="143"/>
      <c r="AC25" s="144"/>
      <c r="AD25" s="144"/>
      <c r="AE25" s="144"/>
      <c r="AF25" s="144"/>
      <c r="AG25" s="144"/>
      <c r="AH25" s="144"/>
      <c r="AI25" s="144"/>
      <c r="AJ25" s="144"/>
      <c r="AK25" s="145"/>
      <c r="AL25" s="131"/>
      <c r="AM25" s="131"/>
      <c r="AN25" s="131"/>
      <c r="AQ25" s="28"/>
    </row>
    <row r="26" spans="2:43" ht="16.5" customHeight="1">
      <c r="B26" s="130"/>
      <c r="C26" s="130"/>
      <c r="D26" s="130"/>
      <c r="E26" s="130"/>
      <c r="F26" s="131"/>
      <c r="G26" s="131"/>
      <c r="H26" s="130"/>
      <c r="I26" s="131"/>
      <c r="J26" s="131"/>
      <c r="K26" s="128"/>
      <c r="L26" s="128"/>
      <c r="M26" s="128"/>
      <c r="N26" s="128"/>
      <c r="O26" s="146"/>
      <c r="P26" s="146"/>
      <c r="Q26" s="146"/>
      <c r="R26" s="130"/>
      <c r="S26" s="131"/>
      <c r="T26" s="131"/>
      <c r="U26" s="131"/>
      <c r="V26" s="131"/>
      <c r="W26" s="129"/>
      <c r="X26" s="129"/>
      <c r="Y26" s="129"/>
      <c r="Z26" s="143"/>
      <c r="AA26" s="143"/>
      <c r="AB26" s="143"/>
      <c r="AC26" s="144"/>
      <c r="AD26" s="144"/>
      <c r="AE26" s="144"/>
      <c r="AF26" s="144"/>
      <c r="AG26" s="144"/>
      <c r="AH26" s="144"/>
      <c r="AI26" s="144"/>
      <c r="AJ26" s="144"/>
      <c r="AK26" s="145"/>
      <c r="AL26" s="131"/>
      <c r="AM26" s="131"/>
      <c r="AN26" s="131"/>
      <c r="AQ26" s="28"/>
    </row>
    <row r="27" spans="2:43" ht="16.5" customHeight="1">
      <c r="B27" s="130"/>
      <c r="C27" s="130"/>
      <c r="D27" s="130"/>
      <c r="E27" s="130"/>
      <c r="F27" s="131"/>
      <c r="G27" s="131"/>
      <c r="H27" s="130"/>
      <c r="I27" s="131"/>
      <c r="J27" s="131"/>
      <c r="K27" s="128"/>
      <c r="L27" s="128"/>
      <c r="M27" s="128"/>
      <c r="N27" s="128"/>
      <c r="O27" s="146"/>
      <c r="P27" s="146"/>
      <c r="Q27" s="146"/>
      <c r="R27" s="130"/>
      <c r="S27" s="131"/>
      <c r="T27" s="131"/>
      <c r="U27" s="131"/>
      <c r="V27" s="131"/>
      <c r="W27" s="129"/>
      <c r="X27" s="129"/>
      <c r="Y27" s="129"/>
      <c r="Z27" s="143"/>
      <c r="AA27" s="143"/>
      <c r="AB27" s="143"/>
      <c r="AC27" s="144"/>
      <c r="AD27" s="144"/>
      <c r="AE27" s="144"/>
      <c r="AF27" s="144"/>
      <c r="AG27" s="144"/>
      <c r="AH27" s="144"/>
      <c r="AI27" s="144"/>
      <c r="AJ27" s="144"/>
      <c r="AK27" s="145"/>
      <c r="AL27" s="131"/>
      <c r="AM27" s="131"/>
      <c r="AN27" s="131"/>
      <c r="AQ27" s="28"/>
    </row>
    <row r="28" spans="2:43" ht="16.5" customHeight="1">
      <c r="B28" s="130"/>
      <c r="C28" s="130"/>
      <c r="D28" s="130"/>
      <c r="E28" s="130"/>
      <c r="F28" s="131"/>
      <c r="G28" s="131"/>
      <c r="H28" s="130"/>
      <c r="I28" s="131"/>
      <c r="J28" s="131"/>
      <c r="K28" s="128"/>
      <c r="L28" s="128"/>
      <c r="M28" s="128"/>
      <c r="N28" s="128"/>
      <c r="O28" s="146"/>
      <c r="P28" s="146"/>
      <c r="Q28" s="146"/>
      <c r="R28" s="130"/>
      <c r="S28" s="131"/>
      <c r="T28" s="131"/>
      <c r="U28" s="131"/>
      <c r="V28" s="131"/>
      <c r="W28" s="129"/>
      <c r="X28" s="129"/>
      <c r="Y28" s="129"/>
      <c r="Z28" s="143"/>
      <c r="AA28" s="143"/>
      <c r="AB28" s="143"/>
      <c r="AC28" s="144"/>
      <c r="AD28" s="144"/>
      <c r="AE28" s="144"/>
      <c r="AF28" s="144"/>
      <c r="AG28" s="144"/>
      <c r="AH28" s="144"/>
      <c r="AI28" s="144"/>
      <c r="AJ28" s="144"/>
      <c r="AK28" s="145"/>
      <c r="AL28" s="131"/>
      <c r="AM28" s="131"/>
      <c r="AN28" s="131"/>
      <c r="AQ28" s="28"/>
    </row>
    <row r="29" spans="2:43" ht="16.5" customHeight="1">
      <c r="B29" s="130"/>
      <c r="C29" s="130"/>
      <c r="D29" s="130"/>
      <c r="E29" s="130"/>
      <c r="F29" s="131"/>
      <c r="G29" s="131"/>
      <c r="H29" s="130"/>
      <c r="I29" s="131"/>
      <c r="J29" s="131"/>
      <c r="K29" s="128"/>
      <c r="L29" s="128"/>
      <c r="M29" s="128"/>
      <c r="N29" s="128"/>
      <c r="O29" s="146"/>
      <c r="P29" s="146"/>
      <c r="Q29" s="146"/>
      <c r="R29" s="130"/>
      <c r="S29" s="131"/>
      <c r="T29" s="131"/>
      <c r="U29" s="131"/>
      <c r="V29" s="131"/>
      <c r="W29" s="129"/>
      <c r="X29" s="129"/>
      <c r="Y29" s="129"/>
      <c r="Z29" s="143"/>
      <c r="AA29" s="143"/>
      <c r="AB29" s="143"/>
      <c r="AC29" s="144"/>
      <c r="AD29" s="144"/>
      <c r="AE29" s="144"/>
      <c r="AF29" s="144"/>
      <c r="AG29" s="144"/>
      <c r="AH29" s="144"/>
      <c r="AI29" s="144"/>
      <c r="AJ29" s="144"/>
      <c r="AK29" s="145"/>
      <c r="AL29" s="131"/>
      <c r="AM29" s="131"/>
      <c r="AN29" s="131"/>
      <c r="AQ29" s="28"/>
    </row>
    <row r="30" spans="2:43" ht="16.5" customHeight="1">
      <c r="B30" s="134" t="s">
        <v>28</v>
      </c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6"/>
      <c r="AQ30" s="28"/>
    </row>
    <row r="31" spans="2:43" ht="16.5" customHeight="1">
      <c r="B31" s="137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9"/>
      <c r="AQ31" s="28"/>
    </row>
    <row r="32" spans="2:43" ht="16.5" customHeight="1">
      <c r="B32" s="137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9"/>
      <c r="AQ32" s="28"/>
    </row>
    <row r="33" spans="2:43" ht="16.5" customHeight="1"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2"/>
      <c r="AQ33" s="28"/>
    </row>
    <row r="34" spans="2:43" ht="3" customHeight="1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</row>
    <row r="35" spans="2:43" ht="21" customHeight="1">
      <c r="B35" s="132" t="s">
        <v>29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 t="s">
        <v>30</v>
      </c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 t="s">
        <v>31</v>
      </c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</row>
    <row r="36" spans="2:43" s="5" customFormat="1" ht="22.5" customHeight="1">
      <c r="B36" s="98" t="s">
        <v>32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100"/>
      <c r="N36" s="98" t="s">
        <v>32</v>
      </c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100"/>
      <c r="AA36" s="98" t="s">
        <v>32</v>
      </c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100"/>
    </row>
    <row r="37" spans="2:43" s="5" customFormat="1" ht="27.75" customHeight="1">
      <c r="B37" s="101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1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3"/>
      <c r="AA37" s="101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3"/>
    </row>
    <row r="38" spans="2:43" s="5" customFormat="1" ht="11.25" customHeight="1">
      <c r="B38" s="104" t="s">
        <v>33</v>
      </c>
      <c r="C38" s="105"/>
      <c r="D38" s="105"/>
      <c r="E38" s="105"/>
      <c r="F38" s="105"/>
      <c r="G38" s="105" t="s">
        <v>34</v>
      </c>
      <c r="H38" s="105"/>
      <c r="I38" s="105"/>
      <c r="J38" s="105"/>
      <c r="K38" s="105"/>
      <c r="L38" s="105"/>
      <c r="M38" s="106"/>
      <c r="N38" s="104" t="s">
        <v>33</v>
      </c>
      <c r="O38" s="105"/>
      <c r="P38" s="105"/>
      <c r="Q38" s="105"/>
      <c r="R38" s="105"/>
      <c r="S38" s="105" t="s">
        <v>34</v>
      </c>
      <c r="T38" s="105"/>
      <c r="U38" s="105"/>
      <c r="V38" s="105"/>
      <c r="W38" s="105"/>
      <c r="X38" s="105"/>
      <c r="Y38" s="105"/>
      <c r="Z38" s="106"/>
      <c r="AA38" s="104" t="s">
        <v>33</v>
      </c>
      <c r="AB38" s="105"/>
      <c r="AC38" s="105"/>
      <c r="AD38" s="105"/>
      <c r="AE38" s="105"/>
      <c r="AF38" s="105" t="s">
        <v>34</v>
      </c>
      <c r="AG38" s="105"/>
      <c r="AH38" s="105"/>
      <c r="AI38" s="105"/>
      <c r="AJ38" s="105"/>
      <c r="AK38" s="105"/>
      <c r="AL38" s="105"/>
      <c r="AM38" s="105"/>
      <c r="AN38" s="106"/>
    </row>
    <row r="39" spans="2:43" ht="3" customHeight="1"/>
  </sheetData>
  <autoFilter ref="B16:AN33" xr:uid="{00000000-0009-0000-0000-000002000000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</autoFilter>
  <mergeCells count="156">
    <mergeCell ref="AA6:AC7"/>
    <mergeCell ref="AA9:AD10"/>
    <mergeCell ref="AA12:AE13"/>
    <mergeCell ref="C9:P10"/>
    <mergeCell ref="N6:Y7"/>
    <mergeCell ref="AD6:AM7"/>
    <mergeCell ref="B2:N2"/>
    <mergeCell ref="B3:J3"/>
    <mergeCell ref="B1:W1"/>
    <mergeCell ref="B6:B7"/>
    <mergeCell ref="B12:B13"/>
    <mergeCell ref="B9:B10"/>
    <mergeCell ref="C6:K7"/>
    <mergeCell ref="C12:Q13"/>
    <mergeCell ref="L6:M7"/>
    <mergeCell ref="AE9:AM10"/>
    <mergeCell ref="V12:Z13"/>
    <mergeCell ref="AF12:AM13"/>
    <mergeCell ref="B16:D18"/>
    <mergeCell ref="E16:G18"/>
    <mergeCell ref="H16:J18"/>
    <mergeCell ref="K16:N18"/>
    <mergeCell ref="O16:Q18"/>
    <mergeCell ref="W16:Y18"/>
    <mergeCell ref="Z16:AB18"/>
    <mergeCell ref="AC16:AF18"/>
    <mergeCell ref="AG16:AJ18"/>
    <mergeCell ref="AK16:AN18"/>
    <mergeCell ref="R19:V19"/>
    <mergeCell ref="B22:D22"/>
    <mergeCell ref="E22:G22"/>
    <mergeCell ref="H22:J22"/>
    <mergeCell ref="K22:N22"/>
    <mergeCell ref="O22:Q22"/>
    <mergeCell ref="R16:V18"/>
    <mergeCell ref="B19:D19"/>
    <mergeCell ref="E19:G19"/>
    <mergeCell ref="H19:J19"/>
    <mergeCell ref="K19:N19"/>
    <mergeCell ref="O19:Q19"/>
    <mergeCell ref="AK22:AN22"/>
    <mergeCell ref="W19:Y19"/>
    <mergeCell ref="Z19:AB19"/>
    <mergeCell ref="AC19:AF19"/>
    <mergeCell ref="AG19:AJ19"/>
    <mergeCell ref="AK19:AN19"/>
    <mergeCell ref="AK21:AN21"/>
    <mergeCell ref="AK20:AN20"/>
    <mergeCell ref="B21:D21"/>
    <mergeCell ref="E21:G21"/>
    <mergeCell ref="H21:J21"/>
    <mergeCell ref="R22:V22"/>
    <mergeCell ref="W22:Y22"/>
    <mergeCell ref="Z22:AB22"/>
    <mergeCell ref="AC22:AF22"/>
    <mergeCell ref="AG22:AJ22"/>
    <mergeCell ref="R20:V20"/>
    <mergeCell ref="W20:Y20"/>
    <mergeCell ref="Z20:AB20"/>
    <mergeCell ref="Z21:AB21"/>
    <mergeCell ref="AC21:AF21"/>
    <mergeCell ref="AG21:AJ21"/>
    <mergeCell ref="AC20:AF20"/>
    <mergeCell ref="AG20:AJ20"/>
    <mergeCell ref="B24:D24"/>
    <mergeCell ref="E24:G24"/>
    <mergeCell ref="H24:J24"/>
    <mergeCell ref="K24:N24"/>
    <mergeCell ref="O24:Q24"/>
    <mergeCell ref="B23:D23"/>
    <mergeCell ref="E23:G23"/>
    <mergeCell ref="H23:J23"/>
    <mergeCell ref="K23:N23"/>
    <mergeCell ref="O23:Q23"/>
    <mergeCell ref="R24:V24"/>
    <mergeCell ref="W24:Y24"/>
    <mergeCell ref="Z24:AB24"/>
    <mergeCell ref="AC24:AF24"/>
    <mergeCell ref="AG24:AJ24"/>
    <mergeCell ref="AK24:AN24"/>
    <mergeCell ref="W23:Y23"/>
    <mergeCell ref="Z23:AB23"/>
    <mergeCell ref="AC23:AF23"/>
    <mergeCell ref="AG23:AJ23"/>
    <mergeCell ref="AK23:AN23"/>
    <mergeCell ref="R23:V23"/>
    <mergeCell ref="B26:D26"/>
    <mergeCell ref="E26:G26"/>
    <mergeCell ref="H26:J26"/>
    <mergeCell ref="K26:N26"/>
    <mergeCell ref="O26:Q26"/>
    <mergeCell ref="B25:D25"/>
    <mergeCell ref="E25:G25"/>
    <mergeCell ref="H25:J25"/>
    <mergeCell ref="K25:N25"/>
    <mergeCell ref="O25:Q25"/>
    <mergeCell ref="R26:V26"/>
    <mergeCell ref="W26:Y26"/>
    <mergeCell ref="Z26:AB26"/>
    <mergeCell ref="AC26:AF26"/>
    <mergeCell ref="AG26:AJ26"/>
    <mergeCell ref="AK26:AN26"/>
    <mergeCell ref="W25:Y25"/>
    <mergeCell ref="Z25:AB25"/>
    <mergeCell ref="AC25:AF25"/>
    <mergeCell ref="AG25:AJ25"/>
    <mergeCell ref="AK25:AN25"/>
    <mergeCell ref="R25:V25"/>
    <mergeCell ref="B28:D28"/>
    <mergeCell ref="E28:G28"/>
    <mergeCell ref="H28:J28"/>
    <mergeCell ref="K28:N28"/>
    <mergeCell ref="O28:Q28"/>
    <mergeCell ref="B27:D27"/>
    <mergeCell ref="E27:G27"/>
    <mergeCell ref="H27:J27"/>
    <mergeCell ref="K27:N27"/>
    <mergeCell ref="O27:Q27"/>
    <mergeCell ref="O29:Q29"/>
    <mergeCell ref="R29:V29"/>
    <mergeCell ref="R28:V28"/>
    <mergeCell ref="W28:Y28"/>
    <mergeCell ref="Z28:AB28"/>
    <mergeCell ref="AC28:AF28"/>
    <mergeCell ref="AG28:AJ28"/>
    <mergeCell ref="AK28:AN28"/>
    <mergeCell ref="W27:Y27"/>
    <mergeCell ref="Z27:AB27"/>
    <mergeCell ref="AC27:AF27"/>
    <mergeCell ref="AG27:AJ27"/>
    <mergeCell ref="AK27:AN27"/>
    <mergeCell ref="R27:V27"/>
    <mergeCell ref="K21:N21"/>
    <mergeCell ref="O21:Q21"/>
    <mergeCell ref="R21:V21"/>
    <mergeCell ref="W21:Y21"/>
    <mergeCell ref="B35:M35"/>
    <mergeCell ref="N35:Z35"/>
    <mergeCell ref="AA35:AN35"/>
    <mergeCell ref="U9:Y9"/>
    <mergeCell ref="U10:Y10"/>
    <mergeCell ref="B20:D20"/>
    <mergeCell ref="E20:G20"/>
    <mergeCell ref="H20:J20"/>
    <mergeCell ref="K20:N20"/>
    <mergeCell ref="O20:Q20"/>
    <mergeCell ref="B30:AN33"/>
    <mergeCell ref="W29:Y29"/>
    <mergeCell ref="Z29:AB29"/>
    <mergeCell ref="AC29:AF29"/>
    <mergeCell ref="AG29:AJ29"/>
    <mergeCell ref="AK29:AN29"/>
    <mergeCell ref="B29:D29"/>
    <mergeCell ref="E29:G29"/>
    <mergeCell ref="H29:J29"/>
    <mergeCell ref="K29:N29"/>
  </mergeCells>
  <phoneticPr fontId="15" type="noConversion"/>
  <printOptions horizontalCentered="1"/>
  <pageMargins left="0.59055118110236227" right="0.59055118110236227" top="0.59055118110236227" bottom="0.59055118110236227" header="0.39370078740157483" footer="0.39370078740157483"/>
  <pageSetup paperSize="9" scale="91" orientation="landscape" horizontalDpi="300" verticalDpi="300" copies="2" r:id="rId1"/>
  <headerFooter>
    <oddHeader>&amp;R&amp;9&amp;Y&amp;K00-020&amp;D &amp;T</oddHeader>
    <oddFooter>&amp;L&amp;F&amp;R&amp;N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CA90-3071-48B7-A712-CD98BEAF3D9E}">
  <sheetPr>
    <pageSetUpPr fitToPage="1"/>
  </sheetPr>
  <dimension ref="B1:AQ42"/>
  <sheetViews>
    <sheetView zoomScale="115" zoomScaleNormal="115" workbookViewId="0">
      <selection activeCell="AR13" sqref="AR13"/>
    </sheetView>
  </sheetViews>
  <sheetFormatPr defaultColWidth="2.85546875" defaultRowHeight="15" customHeight="1"/>
  <cols>
    <col min="1" max="1" width="0.42578125" style="1" customWidth="1"/>
    <col min="2" max="4" width="2.85546875" style="1" customWidth="1"/>
    <col min="5" max="5" width="3.140625" style="1" customWidth="1"/>
    <col min="6" max="7" width="2.85546875" style="1" customWidth="1"/>
    <col min="8" max="10" width="3.5703125" style="1" customWidth="1"/>
    <col min="11" max="14" width="4.28515625" style="1" customWidth="1"/>
    <col min="15" max="17" width="2.85546875" style="1" customWidth="1"/>
    <col min="18" max="22" width="3.28515625" style="1" customWidth="1"/>
    <col min="23" max="25" width="5.5703125" style="1" customWidth="1"/>
    <col min="26" max="32" width="2.85546875" style="1" customWidth="1"/>
    <col min="33" max="36" width="3.42578125" style="1" customWidth="1"/>
    <col min="37" max="40" width="4.140625" style="1" customWidth="1"/>
    <col min="41" max="41" width="0.42578125" style="1" customWidth="1"/>
    <col min="42" max="42" width="2.85546875" style="1"/>
    <col min="43" max="43" width="3.42578125" style="1" bestFit="1" customWidth="1"/>
    <col min="44" max="16384" width="2.85546875" style="1"/>
  </cols>
  <sheetData>
    <row r="1" spans="2:40" ht="3" customHeight="1">
      <c r="B1" s="7"/>
      <c r="C1" s="8"/>
      <c r="D1" s="8"/>
      <c r="E1" s="8"/>
      <c r="F1" s="8"/>
      <c r="G1" s="8"/>
      <c r="H1" s="9" t="s">
        <v>35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/>
      <c r="AJ1" s="10"/>
      <c r="AK1" s="10"/>
      <c r="AL1" s="10"/>
      <c r="AM1" s="10"/>
      <c r="AN1" s="11"/>
    </row>
    <row r="2" spans="2:40" ht="13.5" customHeight="1">
      <c r="B2" s="220" t="s">
        <v>36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2"/>
    </row>
    <row r="3" spans="2:40" ht="13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2"/>
    </row>
    <row r="4" spans="2:40" ht="13.5" customHeight="1">
      <c r="B4" s="223" t="s">
        <v>0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5"/>
    </row>
    <row r="5" spans="2:40" s="6" customFormat="1" ht="10.5" customHeight="1">
      <c r="B5" s="226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8"/>
    </row>
    <row r="6" spans="2:40" s="6" customFormat="1" ht="10.5" customHeight="1"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190" t="s">
        <v>37</v>
      </c>
      <c r="AI6" s="190"/>
      <c r="AJ6" s="190"/>
      <c r="AK6" s="190"/>
      <c r="AL6" s="190"/>
      <c r="AM6" s="190"/>
      <c r="AN6" s="191"/>
    </row>
    <row r="7" spans="2:40" ht="0.75" customHeight="1"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10"/>
      <c r="AN7" s="10"/>
    </row>
    <row r="8" spans="2:40" ht="3" customHeight="1">
      <c r="B8" s="12"/>
      <c r="C8" s="12"/>
      <c r="D8" s="12"/>
      <c r="E8" s="12"/>
      <c r="F8" s="12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4"/>
      <c r="AK8" s="14"/>
      <c r="AL8" s="14"/>
      <c r="AM8" s="14"/>
      <c r="AN8" s="14"/>
    </row>
    <row r="9" spans="2:40" s="3" customFormat="1" ht="12.75">
      <c r="B9" s="107" t="s">
        <v>4</v>
      </c>
      <c r="C9" s="108"/>
      <c r="D9" s="108"/>
      <c r="E9" s="108"/>
      <c r="F9" s="229" t="s">
        <v>38</v>
      </c>
      <c r="G9" s="229"/>
      <c r="H9" s="229"/>
      <c r="I9" s="229"/>
      <c r="J9" s="229"/>
      <c r="K9" s="229"/>
      <c r="L9" s="109" t="s">
        <v>5</v>
      </c>
      <c r="M9" s="109"/>
      <c r="N9" s="231" t="s">
        <v>39</v>
      </c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109" t="s">
        <v>7</v>
      </c>
      <c r="AB9" s="110"/>
      <c r="AC9" s="110"/>
      <c r="AD9" s="233" t="s">
        <v>40</v>
      </c>
      <c r="AE9" s="233"/>
      <c r="AF9" s="233"/>
      <c r="AG9" s="233"/>
      <c r="AH9" s="233"/>
      <c r="AI9" s="233"/>
      <c r="AJ9" s="233"/>
      <c r="AK9" s="233"/>
      <c r="AL9" s="233"/>
      <c r="AM9" s="233"/>
      <c r="AN9" s="111"/>
    </row>
    <row r="10" spans="2:40" s="5" customFormat="1" ht="10.5" customHeight="1">
      <c r="B10" s="23" t="s">
        <v>41</v>
      </c>
      <c r="C10" s="24"/>
      <c r="D10" s="24"/>
      <c r="E10" s="24"/>
      <c r="F10" s="230"/>
      <c r="G10" s="230"/>
      <c r="H10" s="230"/>
      <c r="I10" s="230"/>
      <c r="J10" s="230"/>
      <c r="K10" s="230"/>
      <c r="L10" s="25" t="s">
        <v>42</v>
      </c>
      <c r="M10" s="25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25" t="s">
        <v>43</v>
      </c>
      <c r="AB10" s="26"/>
      <c r="AC10" s="26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7"/>
    </row>
    <row r="11" spans="2:40" s="3" customFormat="1" ht="3.75" customHeight="1">
      <c r="B11" s="112"/>
      <c r="C11" s="113"/>
      <c r="D11" s="113"/>
      <c r="E11" s="113"/>
      <c r="F11" s="114"/>
      <c r="G11" s="114"/>
      <c r="H11" s="114"/>
      <c r="I11" s="114"/>
      <c r="J11" s="114"/>
      <c r="K11" s="114"/>
      <c r="L11" s="115"/>
      <c r="M11" s="115"/>
      <c r="N11" s="115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5"/>
      <c r="AB11" s="117"/>
      <c r="AC11" s="117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8"/>
    </row>
    <row r="12" spans="2:40" s="3" customFormat="1" ht="12.75">
      <c r="B12" s="216" t="s">
        <v>9</v>
      </c>
      <c r="C12" s="217"/>
      <c r="D12" s="217"/>
      <c r="E12" s="217"/>
      <c r="F12" s="218" t="s">
        <v>44</v>
      </c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115" t="s">
        <v>10</v>
      </c>
      <c r="S12" s="113"/>
      <c r="T12" s="113"/>
      <c r="U12" s="218"/>
      <c r="V12" s="218"/>
      <c r="W12" s="218"/>
      <c r="X12" s="218"/>
      <c r="Y12" s="218"/>
      <c r="Z12" s="218"/>
      <c r="AA12" s="115" t="s">
        <v>11</v>
      </c>
      <c r="AB12" s="113"/>
      <c r="AC12" s="113"/>
      <c r="AD12" s="113"/>
      <c r="AE12" s="218"/>
      <c r="AF12" s="218"/>
      <c r="AG12" s="218"/>
      <c r="AH12" s="218"/>
      <c r="AI12" s="218"/>
      <c r="AJ12" s="218"/>
      <c r="AK12" s="218"/>
      <c r="AL12" s="218"/>
      <c r="AM12" s="218"/>
      <c r="AN12" s="118"/>
    </row>
    <row r="13" spans="2:40" s="5" customFormat="1" ht="10.5" customHeight="1">
      <c r="B13" s="23" t="s">
        <v>45</v>
      </c>
      <c r="C13" s="24"/>
      <c r="D13" s="24"/>
      <c r="E13" s="24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5" t="s">
        <v>46</v>
      </c>
      <c r="S13" s="24"/>
      <c r="T13" s="24"/>
      <c r="U13" s="219"/>
      <c r="V13" s="219"/>
      <c r="W13" s="219"/>
      <c r="X13" s="219"/>
      <c r="Y13" s="219"/>
      <c r="Z13" s="219"/>
      <c r="AA13" s="25" t="s">
        <v>47</v>
      </c>
      <c r="AB13" s="26"/>
      <c r="AC13" s="26"/>
      <c r="AD13" s="24"/>
      <c r="AE13" s="219"/>
      <c r="AF13" s="219"/>
      <c r="AG13" s="219"/>
      <c r="AH13" s="219"/>
      <c r="AI13" s="219"/>
      <c r="AJ13" s="219"/>
      <c r="AK13" s="219"/>
      <c r="AL13" s="219"/>
      <c r="AM13" s="219"/>
      <c r="AN13" s="27"/>
    </row>
    <row r="14" spans="2:40" s="3" customFormat="1" ht="3.75" customHeight="1">
      <c r="B14" s="112"/>
      <c r="C14" s="113"/>
      <c r="D14" s="113"/>
      <c r="E14" s="113"/>
      <c r="F14" s="116"/>
      <c r="G14" s="116"/>
      <c r="H14" s="116"/>
      <c r="I14" s="116"/>
      <c r="J14" s="116"/>
      <c r="K14" s="116"/>
      <c r="L14" s="115"/>
      <c r="M14" s="115"/>
      <c r="N14" s="115"/>
      <c r="O14" s="116"/>
      <c r="P14" s="116"/>
      <c r="Q14" s="116"/>
      <c r="R14" s="116"/>
      <c r="S14" s="116"/>
      <c r="T14" s="116"/>
      <c r="U14" s="114"/>
      <c r="V14" s="114"/>
      <c r="W14" s="114"/>
      <c r="X14" s="114"/>
      <c r="Y14" s="114"/>
      <c r="Z14" s="114"/>
      <c r="AA14" s="115"/>
      <c r="AB14" s="117"/>
      <c r="AC14" s="117"/>
      <c r="AD14" s="117"/>
      <c r="AE14" s="110"/>
      <c r="AF14" s="110"/>
      <c r="AG14" s="110"/>
      <c r="AH14" s="110"/>
      <c r="AI14" s="110"/>
      <c r="AJ14" s="110"/>
      <c r="AK14" s="110"/>
      <c r="AL14" s="110"/>
      <c r="AM14" s="110"/>
      <c r="AN14" s="118"/>
    </row>
    <row r="15" spans="2:40" s="3" customFormat="1" ht="12.75">
      <c r="B15" s="119" t="s">
        <v>13</v>
      </c>
      <c r="C15" s="113"/>
      <c r="D15" s="113"/>
      <c r="E15" s="113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113" t="s">
        <v>15</v>
      </c>
      <c r="S15" s="113"/>
      <c r="T15" s="113"/>
      <c r="U15" s="113"/>
      <c r="V15" s="218"/>
      <c r="W15" s="218"/>
      <c r="X15" s="218"/>
      <c r="Y15" s="218"/>
      <c r="Z15" s="218"/>
      <c r="AA15" s="113" t="s">
        <v>16</v>
      </c>
      <c r="AB15" s="113"/>
      <c r="AC15" s="113"/>
      <c r="AD15" s="113"/>
      <c r="AE15" s="113"/>
      <c r="AF15" s="218" t="s">
        <v>44</v>
      </c>
      <c r="AG15" s="218"/>
      <c r="AH15" s="218"/>
      <c r="AI15" s="218"/>
      <c r="AJ15" s="218"/>
      <c r="AK15" s="218"/>
      <c r="AL15" s="218"/>
      <c r="AM15" s="218"/>
      <c r="AN15" s="118"/>
    </row>
    <row r="16" spans="2:40" s="5" customFormat="1" ht="10.5" customHeight="1">
      <c r="B16" s="23" t="s">
        <v>48</v>
      </c>
      <c r="C16" s="24"/>
      <c r="D16" s="24"/>
      <c r="E16" s="24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5" t="s">
        <v>49</v>
      </c>
      <c r="S16" s="24"/>
      <c r="T16" s="24"/>
      <c r="U16" s="24"/>
      <c r="V16" s="219"/>
      <c r="W16" s="219"/>
      <c r="X16" s="219"/>
      <c r="Y16" s="219"/>
      <c r="Z16" s="219"/>
      <c r="AA16" s="25" t="s">
        <v>50</v>
      </c>
      <c r="AB16" s="26"/>
      <c r="AC16" s="26"/>
      <c r="AD16" s="24"/>
      <c r="AE16" s="24"/>
      <c r="AF16" s="219"/>
      <c r="AG16" s="219"/>
      <c r="AH16" s="219"/>
      <c r="AI16" s="219"/>
      <c r="AJ16" s="219"/>
      <c r="AK16" s="219"/>
      <c r="AL16" s="219"/>
      <c r="AM16" s="219"/>
      <c r="AN16" s="27"/>
    </row>
    <row r="17" spans="2:43" s="3" customFormat="1" ht="7.5" customHeight="1">
      <c r="B17" s="120"/>
      <c r="C17" s="121"/>
      <c r="D17" s="121"/>
      <c r="E17" s="121"/>
      <c r="F17" s="122"/>
      <c r="G17" s="122"/>
      <c r="H17" s="122"/>
      <c r="I17" s="122"/>
      <c r="J17" s="122"/>
      <c r="K17" s="122"/>
      <c r="L17" s="123"/>
      <c r="M17" s="123"/>
      <c r="N17" s="123"/>
      <c r="O17" s="122"/>
      <c r="P17" s="122"/>
      <c r="Q17" s="122"/>
      <c r="R17" s="122"/>
      <c r="S17" s="122"/>
      <c r="T17" s="122"/>
      <c r="U17" s="122"/>
      <c r="V17" s="124"/>
      <c r="W17" s="124"/>
      <c r="X17" s="124"/>
      <c r="Y17" s="124"/>
      <c r="Z17" s="124"/>
      <c r="AA17" s="123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6"/>
      <c r="AO17" s="40"/>
      <c r="AP17" s="40"/>
      <c r="AQ17" s="40"/>
    </row>
    <row r="18" spans="2:43" ht="3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:43" s="3" customFormat="1" ht="11.25" customHeight="1">
      <c r="B19" s="212" t="s">
        <v>51</v>
      </c>
      <c r="C19" s="212"/>
      <c r="D19" s="212"/>
      <c r="E19" s="212" t="s">
        <v>18</v>
      </c>
      <c r="F19" s="212"/>
      <c r="G19" s="212"/>
      <c r="H19" s="212" t="s">
        <v>19</v>
      </c>
      <c r="I19" s="212"/>
      <c r="J19" s="212"/>
      <c r="K19" s="212" t="s">
        <v>20</v>
      </c>
      <c r="L19" s="212"/>
      <c r="M19" s="212"/>
      <c r="N19" s="212"/>
      <c r="O19" s="214" t="s">
        <v>21</v>
      </c>
      <c r="P19" s="214"/>
      <c r="Q19" s="214"/>
      <c r="R19" s="212" t="s">
        <v>22</v>
      </c>
      <c r="S19" s="212"/>
      <c r="T19" s="212"/>
      <c r="U19" s="212"/>
      <c r="V19" s="212"/>
      <c r="W19" s="212" t="s">
        <v>23</v>
      </c>
      <c r="X19" s="212"/>
      <c r="Y19" s="212"/>
      <c r="Z19" s="212" t="s">
        <v>24</v>
      </c>
      <c r="AA19" s="212"/>
      <c r="AB19" s="212"/>
      <c r="AC19" s="212" t="s">
        <v>25</v>
      </c>
      <c r="AD19" s="212"/>
      <c r="AE19" s="212"/>
      <c r="AF19" s="212"/>
      <c r="AG19" s="212" t="s">
        <v>26</v>
      </c>
      <c r="AH19" s="212"/>
      <c r="AI19" s="212"/>
      <c r="AJ19" s="212"/>
      <c r="AK19" s="212" t="s">
        <v>27</v>
      </c>
      <c r="AL19" s="212"/>
      <c r="AM19" s="212"/>
      <c r="AN19" s="212"/>
      <c r="AO19" s="40"/>
      <c r="AP19" s="40"/>
      <c r="AQ19" s="40"/>
    </row>
    <row r="20" spans="2:43" s="3" customFormat="1" ht="11.25" customHeight="1"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5"/>
      <c r="P20" s="215"/>
      <c r="Q20" s="215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40"/>
      <c r="AP20" s="40"/>
      <c r="AQ20" s="40"/>
    </row>
    <row r="21" spans="2:43" s="3" customFormat="1" ht="11.25" customHeight="1"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5"/>
      <c r="P21" s="215"/>
      <c r="Q21" s="215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40"/>
      <c r="AP21" s="40"/>
      <c r="AQ21" s="40"/>
    </row>
    <row r="22" spans="2:43" s="3" customFormat="1" ht="18.75" customHeight="1">
      <c r="B22" s="209" t="s">
        <v>52</v>
      </c>
      <c r="C22" s="210"/>
      <c r="D22" s="211"/>
      <c r="E22" s="209" t="s">
        <v>53</v>
      </c>
      <c r="F22" s="210"/>
      <c r="G22" s="211"/>
      <c r="H22" s="209" t="s">
        <v>54</v>
      </c>
      <c r="I22" s="210"/>
      <c r="J22" s="211"/>
      <c r="K22" s="209" t="s">
        <v>55</v>
      </c>
      <c r="L22" s="210"/>
      <c r="M22" s="210"/>
      <c r="N22" s="211"/>
      <c r="O22" s="209" t="s">
        <v>56</v>
      </c>
      <c r="P22" s="210"/>
      <c r="Q22" s="211"/>
      <c r="R22" s="209" t="s">
        <v>57</v>
      </c>
      <c r="S22" s="210"/>
      <c r="T22" s="210"/>
      <c r="U22" s="210"/>
      <c r="V22" s="211"/>
      <c r="W22" s="209" t="s">
        <v>58</v>
      </c>
      <c r="X22" s="210"/>
      <c r="Y22" s="211"/>
      <c r="Z22" s="209" t="s">
        <v>59</v>
      </c>
      <c r="AA22" s="210"/>
      <c r="AB22" s="211"/>
      <c r="AC22" s="209" t="s">
        <v>60</v>
      </c>
      <c r="AD22" s="210"/>
      <c r="AE22" s="210"/>
      <c r="AF22" s="211"/>
      <c r="AG22" s="209" t="s">
        <v>61</v>
      </c>
      <c r="AH22" s="210"/>
      <c r="AI22" s="210"/>
      <c r="AJ22" s="211"/>
      <c r="AK22" s="209" t="s">
        <v>62</v>
      </c>
      <c r="AL22" s="210"/>
      <c r="AM22" s="210"/>
      <c r="AN22" s="211"/>
      <c r="AO22" s="40"/>
      <c r="AP22" s="40"/>
      <c r="AQ22" s="40"/>
    </row>
    <row r="23" spans="2:43" ht="16.5" customHeight="1">
      <c r="B23" s="197"/>
      <c r="C23" s="197"/>
      <c r="D23" s="197"/>
      <c r="E23" s="197"/>
      <c r="F23" s="198"/>
      <c r="G23" s="198"/>
      <c r="H23" s="197"/>
      <c r="I23" s="198"/>
      <c r="J23" s="198"/>
      <c r="K23" s="200"/>
      <c r="L23" s="201"/>
      <c r="M23" s="201"/>
      <c r="N23" s="202"/>
      <c r="O23" s="192"/>
      <c r="P23" s="192"/>
      <c r="Q23" s="192"/>
      <c r="R23" s="197"/>
      <c r="S23" s="198"/>
      <c r="T23" s="198"/>
      <c r="U23" s="198"/>
      <c r="V23" s="198"/>
      <c r="W23" s="192"/>
      <c r="X23" s="192"/>
      <c r="Y23" s="192"/>
      <c r="Z23" s="206"/>
      <c r="AA23" s="207"/>
      <c r="AB23" s="208"/>
      <c r="AC23" s="196"/>
      <c r="AD23" s="196"/>
      <c r="AE23" s="196"/>
      <c r="AF23" s="196"/>
      <c r="AG23" s="203"/>
      <c r="AH23" s="204"/>
      <c r="AI23" s="204"/>
      <c r="AJ23" s="204"/>
      <c r="AK23" s="205"/>
      <c r="AL23" s="198"/>
      <c r="AM23" s="198"/>
      <c r="AN23" s="198"/>
      <c r="AQ23" s="28"/>
    </row>
    <row r="24" spans="2:43" ht="16.5" customHeight="1">
      <c r="B24" s="197"/>
      <c r="C24" s="197"/>
      <c r="D24" s="197"/>
      <c r="E24" s="197"/>
      <c r="F24" s="198"/>
      <c r="G24" s="198"/>
      <c r="H24" s="197"/>
      <c r="I24" s="198"/>
      <c r="J24" s="198"/>
      <c r="K24" s="200"/>
      <c r="L24" s="201"/>
      <c r="M24" s="201"/>
      <c r="N24" s="202"/>
      <c r="O24" s="192"/>
      <c r="P24" s="192"/>
      <c r="Q24" s="192"/>
      <c r="R24" s="197"/>
      <c r="S24" s="198"/>
      <c r="T24" s="198"/>
      <c r="U24" s="198"/>
      <c r="V24" s="198"/>
      <c r="W24" s="192"/>
      <c r="X24" s="192"/>
      <c r="Y24" s="192"/>
      <c r="Z24" s="206"/>
      <c r="AA24" s="207"/>
      <c r="AB24" s="208"/>
      <c r="AC24" s="196"/>
      <c r="AD24" s="196"/>
      <c r="AE24" s="196"/>
      <c r="AF24" s="196"/>
      <c r="AG24" s="203"/>
      <c r="AH24" s="204"/>
      <c r="AI24" s="204"/>
      <c r="AJ24" s="204"/>
      <c r="AK24" s="205"/>
      <c r="AL24" s="198"/>
      <c r="AM24" s="198"/>
      <c r="AN24" s="198"/>
      <c r="AQ24" s="28"/>
    </row>
    <row r="25" spans="2:43" ht="16.5" customHeight="1">
      <c r="B25" s="197"/>
      <c r="C25" s="197"/>
      <c r="D25" s="197"/>
      <c r="E25" s="197"/>
      <c r="F25" s="198"/>
      <c r="G25" s="198"/>
      <c r="H25" s="197"/>
      <c r="I25" s="198"/>
      <c r="J25" s="198"/>
      <c r="K25" s="200"/>
      <c r="L25" s="201"/>
      <c r="M25" s="201"/>
      <c r="N25" s="202"/>
      <c r="O25" s="192"/>
      <c r="P25" s="192"/>
      <c r="Q25" s="192"/>
      <c r="R25" s="197"/>
      <c r="S25" s="198"/>
      <c r="T25" s="198"/>
      <c r="U25" s="198"/>
      <c r="V25" s="198"/>
      <c r="W25" s="192"/>
      <c r="X25" s="192"/>
      <c r="Y25" s="192"/>
      <c r="Z25" s="193"/>
      <c r="AA25" s="194"/>
      <c r="AB25" s="195"/>
      <c r="AC25" s="196"/>
      <c r="AD25" s="196"/>
      <c r="AE25" s="196"/>
      <c r="AF25" s="196"/>
      <c r="AG25" s="203"/>
      <c r="AH25" s="204"/>
      <c r="AI25" s="204"/>
      <c r="AJ25" s="204"/>
      <c r="AK25" s="205"/>
      <c r="AL25" s="198"/>
      <c r="AM25" s="198"/>
      <c r="AN25" s="198"/>
      <c r="AQ25" s="28"/>
    </row>
    <row r="26" spans="2:43" ht="16.5" customHeight="1">
      <c r="B26" s="197"/>
      <c r="C26" s="197"/>
      <c r="D26" s="197"/>
      <c r="E26" s="197"/>
      <c r="F26" s="198"/>
      <c r="G26" s="198"/>
      <c r="H26" s="197"/>
      <c r="I26" s="198"/>
      <c r="J26" s="198"/>
      <c r="K26" s="200"/>
      <c r="L26" s="201"/>
      <c r="M26" s="201"/>
      <c r="N26" s="202"/>
      <c r="O26" s="192"/>
      <c r="P26" s="192"/>
      <c r="Q26" s="192"/>
      <c r="R26" s="197"/>
      <c r="S26" s="198"/>
      <c r="T26" s="198"/>
      <c r="U26" s="198"/>
      <c r="V26" s="198"/>
      <c r="W26" s="192"/>
      <c r="X26" s="192"/>
      <c r="Y26" s="192"/>
      <c r="Z26" s="193"/>
      <c r="AA26" s="194"/>
      <c r="AB26" s="195"/>
      <c r="AC26" s="196"/>
      <c r="AD26" s="196"/>
      <c r="AE26" s="196"/>
      <c r="AF26" s="196"/>
      <c r="AG26" s="203"/>
      <c r="AH26" s="204"/>
      <c r="AI26" s="204"/>
      <c r="AJ26" s="204"/>
      <c r="AK26" s="205"/>
      <c r="AL26" s="198"/>
      <c r="AM26" s="198"/>
      <c r="AN26" s="198"/>
      <c r="AQ26" s="28"/>
    </row>
    <row r="27" spans="2:43" ht="16.5" customHeight="1">
      <c r="B27" s="197"/>
      <c r="C27" s="197"/>
      <c r="D27" s="197"/>
      <c r="E27" s="197"/>
      <c r="F27" s="198"/>
      <c r="G27" s="198"/>
      <c r="H27" s="197"/>
      <c r="I27" s="198"/>
      <c r="J27" s="198"/>
      <c r="K27" s="200"/>
      <c r="L27" s="201"/>
      <c r="M27" s="201"/>
      <c r="N27" s="202"/>
      <c r="O27" s="192"/>
      <c r="P27" s="192"/>
      <c r="Q27" s="192"/>
      <c r="R27" s="197"/>
      <c r="S27" s="198"/>
      <c r="T27" s="198"/>
      <c r="U27" s="198"/>
      <c r="V27" s="198"/>
      <c r="W27" s="192"/>
      <c r="X27" s="192"/>
      <c r="Y27" s="192"/>
      <c r="Z27" s="193"/>
      <c r="AA27" s="194"/>
      <c r="AB27" s="195"/>
      <c r="AC27" s="196"/>
      <c r="AD27" s="196"/>
      <c r="AE27" s="196"/>
      <c r="AF27" s="196"/>
      <c r="AG27" s="203"/>
      <c r="AH27" s="204"/>
      <c r="AI27" s="204"/>
      <c r="AJ27" s="204"/>
      <c r="AK27" s="205"/>
      <c r="AL27" s="198"/>
      <c r="AM27" s="198"/>
      <c r="AN27" s="198"/>
      <c r="AQ27" s="28"/>
    </row>
    <row r="28" spans="2:43" ht="16.5" customHeight="1">
      <c r="B28" s="197"/>
      <c r="C28" s="197"/>
      <c r="D28" s="197"/>
      <c r="E28" s="197"/>
      <c r="F28" s="198"/>
      <c r="G28" s="198"/>
      <c r="H28" s="197"/>
      <c r="I28" s="198"/>
      <c r="J28" s="198"/>
      <c r="K28" s="200"/>
      <c r="L28" s="201"/>
      <c r="M28" s="201"/>
      <c r="N28" s="202"/>
      <c r="O28" s="192"/>
      <c r="P28" s="192"/>
      <c r="Q28" s="192"/>
      <c r="R28" s="197"/>
      <c r="S28" s="198"/>
      <c r="T28" s="198"/>
      <c r="U28" s="198"/>
      <c r="V28" s="198"/>
      <c r="W28" s="192"/>
      <c r="X28" s="192"/>
      <c r="Y28" s="192"/>
      <c r="Z28" s="193"/>
      <c r="AA28" s="194"/>
      <c r="AB28" s="195"/>
      <c r="AC28" s="196"/>
      <c r="AD28" s="196"/>
      <c r="AE28" s="196"/>
      <c r="AF28" s="196"/>
      <c r="AG28" s="203"/>
      <c r="AH28" s="204"/>
      <c r="AI28" s="204"/>
      <c r="AJ28" s="204"/>
      <c r="AK28" s="205"/>
      <c r="AL28" s="198"/>
      <c r="AM28" s="198"/>
      <c r="AN28" s="198"/>
      <c r="AQ28" s="28"/>
    </row>
    <row r="29" spans="2:43" ht="16.5" customHeight="1">
      <c r="B29" s="197"/>
      <c r="C29" s="197"/>
      <c r="D29" s="197"/>
      <c r="E29" s="197"/>
      <c r="F29" s="198"/>
      <c r="G29" s="198"/>
      <c r="H29" s="197"/>
      <c r="I29" s="198"/>
      <c r="J29" s="198"/>
      <c r="K29" s="200"/>
      <c r="L29" s="201"/>
      <c r="M29" s="201"/>
      <c r="N29" s="202"/>
      <c r="O29" s="192"/>
      <c r="P29" s="192"/>
      <c r="Q29" s="192"/>
      <c r="R29" s="197"/>
      <c r="S29" s="198"/>
      <c r="T29" s="198"/>
      <c r="U29" s="198"/>
      <c r="V29" s="198"/>
      <c r="W29" s="192"/>
      <c r="X29" s="192"/>
      <c r="Y29" s="192"/>
      <c r="Z29" s="193"/>
      <c r="AA29" s="194"/>
      <c r="AB29" s="195"/>
      <c r="AC29" s="196"/>
      <c r="AD29" s="196"/>
      <c r="AE29" s="196"/>
      <c r="AF29" s="196"/>
      <c r="AG29" s="203"/>
      <c r="AH29" s="204"/>
      <c r="AI29" s="204"/>
      <c r="AJ29" s="204"/>
      <c r="AK29" s="205"/>
      <c r="AL29" s="198"/>
      <c r="AM29" s="198"/>
      <c r="AN29" s="198"/>
      <c r="AQ29" s="28"/>
    </row>
    <row r="30" spans="2:43" ht="16.5" customHeight="1">
      <c r="B30" s="197"/>
      <c r="C30" s="197"/>
      <c r="D30" s="197"/>
      <c r="E30" s="197"/>
      <c r="F30" s="198"/>
      <c r="G30" s="198"/>
      <c r="H30" s="197"/>
      <c r="I30" s="198"/>
      <c r="J30" s="198"/>
      <c r="K30" s="200"/>
      <c r="L30" s="201"/>
      <c r="M30" s="201"/>
      <c r="N30" s="202"/>
      <c r="O30" s="192"/>
      <c r="P30" s="192"/>
      <c r="Q30" s="192"/>
      <c r="R30" s="197"/>
      <c r="S30" s="198"/>
      <c r="T30" s="198"/>
      <c r="U30" s="198"/>
      <c r="V30" s="198"/>
      <c r="W30" s="192"/>
      <c r="X30" s="192"/>
      <c r="Y30" s="192"/>
      <c r="Z30" s="193"/>
      <c r="AA30" s="194"/>
      <c r="AB30" s="195"/>
      <c r="AC30" s="196"/>
      <c r="AD30" s="196"/>
      <c r="AE30" s="196"/>
      <c r="AF30" s="196"/>
      <c r="AG30" s="203"/>
      <c r="AH30" s="204"/>
      <c r="AI30" s="204"/>
      <c r="AJ30" s="204"/>
      <c r="AK30" s="205"/>
      <c r="AL30" s="198"/>
      <c r="AM30" s="198"/>
      <c r="AN30" s="198"/>
      <c r="AQ30" s="28"/>
    </row>
    <row r="31" spans="2:43" ht="16.5" customHeight="1">
      <c r="B31" s="197"/>
      <c r="C31" s="197"/>
      <c r="D31" s="197"/>
      <c r="E31" s="197"/>
      <c r="F31" s="198"/>
      <c r="G31" s="198"/>
      <c r="H31" s="197"/>
      <c r="I31" s="198"/>
      <c r="J31" s="198"/>
      <c r="K31" s="200"/>
      <c r="L31" s="201"/>
      <c r="M31" s="201"/>
      <c r="N31" s="202"/>
      <c r="O31" s="192"/>
      <c r="P31" s="192"/>
      <c r="Q31" s="192"/>
      <c r="R31" s="197"/>
      <c r="S31" s="198"/>
      <c r="T31" s="198"/>
      <c r="U31" s="198"/>
      <c r="V31" s="198"/>
      <c r="W31" s="192"/>
      <c r="X31" s="192"/>
      <c r="Y31" s="192"/>
      <c r="Z31" s="193"/>
      <c r="AA31" s="194"/>
      <c r="AB31" s="195"/>
      <c r="AC31" s="196"/>
      <c r="AD31" s="196"/>
      <c r="AE31" s="196"/>
      <c r="AF31" s="196"/>
      <c r="AG31" s="203"/>
      <c r="AH31" s="204"/>
      <c r="AI31" s="204"/>
      <c r="AJ31" s="204"/>
      <c r="AK31" s="205"/>
      <c r="AL31" s="198"/>
      <c r="AM31" s="198"/>
      <c r="AN31" s="198"/>
      <c r="AQ31" s="28"/>
    </row>
    <row r="32" spans="2:43" ht="16.5" customHeight="1">
      <c r="B32" s="197"/>
      <c r="C32" s="197"/>
      <c r="D32" s="197"/>
      <c r="E32" s="197"/>
      <c r="F32" s="198"/>
      <c r="G32" s="198"/>
      <c r="H32" s="197"/>
      <c r="I32" s="198"/>
      <c r="J32" s="198"/>
      <c r="K32" s="200"/>
      <c r="L32" s="201"/>
      <c r="M32" s="201"/>
      <c r="N32" s="202"/>
      <c r="O32" s="192"/>
      <c r="P32" s="192"/>
      <c r="Q32" s="192"/>
      <c r="R32" s="197"/>
      <c r="S32" s="198"/>
      <c r="T32" s="198"/>
      <c r="U32" s="198"/>
      <c r="V32" s="198"/>
      <c r="W32" s="192"/>
      <c r="X32" s="192"/>
      <c r="Y32" s="192"/>
      <c r="Z32" s="193"/>
      <c r="AA32" s="194"/>
      <c r="AB32" s="195"/>
      <c r="AC32" s="196"/>
      <c r="AD32" s="196"/>
      <c r="AE32" s="196"/>
      <c r="AF32" s="196"/>
      <c r="AG32" s="203"/>
      <c r="AH32" s="204"/>
      <c r="AI32" s="204"/>
      <c r="AJ32" s="204"/>
      <c r="AK32" s="197"/>
      <c r="AL32" s="198"/>
      <c r="AM32" s="198"/>
      <c r="AN32" s="198"/>
      <c r="AQ32" s="28"/>
    </row>
    <row r="33" spans="2:43" ht="16.5" customHeight="1">
      <c r="B33" s="197"/>
      <c r="C33" s="197"/>
      <c r="D33" s="197"/>
      <c r="E33" s="197"/>
      <c r="F33" s="198"/>
      <c r="G33" s="198"/>
      <c r="H33" s="197"/>
      <c r="I33" s="198"/>
      <c r="J33" s="198"/>
      <c r="K33" s="200"/>
      <c r="L33" s="201"/>
      <c r="M33" s="201"/>
      <c r="N33" s="202"/>
      <c r="O33" s="192"/>
      <c r="P33" s="192"/>
      <c r="Q33" s="192"/>
      <c r="R33" s="197"/>
      <c r="S33" s="198"/>
      <c r="T33" s="198"/>
      <c r="U33" s="198"/>
      <c r="V33" s="198"/>
      <c r="W33" s="192"/>
      <c r="X33" s="192"/>
      <c r="Y33" s="192"/>
      <c r="Z33" s="193"/>
      <c r="AA33" s="194"/>
      <c r="AB33" s="195"/>
      <c r="AC33" s="196"/>
      <c r="AD33" s="196"/>
      <c r="AE33" s="196"/>
      <c r="AF33" s="196"/>
      <c r="AG33" s="197"/>
      <c r="AH33" s="198"/>
      <c r="AI33" s="198"/>
      <c r="AJ33" s="198"/>
      <c r="AK33" s="197"/>
      <c r="AL33" s="198"/>
      <c r="AM33" s="198"/>
      <c r="AN33" s="198"/>
      <c r="AQ33" s="28"/>
    </row>
    <row r="34" spans="2:43" ht="16.5" customHeight="1">
      <c r="B34" s="197"/>
      <c r="C34" s="197"/>
      <c r="D34" s="197"/>
      <c r="E34" s="197"/>
      <c r="F34" s="198"/>
      <c r="G34" s="198"/>
      <c r="H34" s="197"/>
      <c r="I34" s="198"/>
      <c r="J34" s="198"/>
      <c r="K34" s="200"/>
      <c r="L34" s="201"/>
      <c r="M34" s="201"/>
      <c r="N34" s="202"/>
      <c r="O34" s="192"/>
      <c r="P34" s="192"/>
      <c r="Q34" s="192"/>
      <c r="R34" s="197"/>
      <c r="S34" s="198"/>
      <c r="T34" s="198"/>
      <c r="U34" s="198"/>
      <c r="V34" s="198"/>
      <c r="W34" s="192"/>
      <c r="X34" s="192"/>
      <c r="Y34" s="192"/>
      <c r="Z34" s="193"/>
      <c r="AA34" s="194"/>
      <c r="AB34" s="195"/>
      <c r="AC34" s="196"/>
      <c r="AD34" s="196"/>
      <c r="AE34" s="196"/>
      <c r="AF34" s="196"/>
      <c r="AG34" s="197"/>
      <c r="AH34" s="198"/>
      <c r="AI34" s="198"/>
      <c r="AJ34" s="198"/>
      <c r="AK34" s="197"/>
      <c r="AL34" s="198"/>
      <c r="AM34" s="198"/>
      <c r="AN34" s="198"/>
      <c r="AQ34" s="28"/>
    </row>
    <row r="35" spans="2:43" ht="16.5" customHeight="1">
      <c r="B35" s="197"/>
      <c r="C35" s="197"/>
      <c r="D35" s="197"/>
      <c r="E35" s="197"/>
      <c r="F35" s="198"/>
      <c r="G35" s="198"/>
      <c r="H35" s="197"/>
      <c r="I35" s="198"/>
      <c r="J35" s="198"/>
      <c r="K35" s="200"/>
      <c r="L35" s="201"/>
      <c r="M35" s="201"/>
      <c r="N35" s="202"/>
      <c r="O35" s="192"/>
      <c r="P35" s="192"/>
      <c r="Q35" s="192"/>
      <c r="R35" s="197"/>
      <c r="S35" s="198"/>
      <c r="T35" s="198"/>
      <c r="U35" s="198"/>
      <c r="V35" s="198"/>
      <c r="W35" s="192"/>
      <c r="X35" s="192"/>
      <c r="Y35" s="192"/>
      <c r="Z35" s="193"/>
      <c r="AA35" s="194"/>
      <c r="AB35" s="195"/>
      <c r="AC35" s="196"/>
      <c r="AD35" s="196"/>
      <c r="AE35" s="196"/>
      <c r="AF35" s="196"/>
      <c r="AG35" s="197"/>
      <c r="AH35" s="198"/>
      <c r="AI35" s="198"/>
      <c r="AJ35" s="198"/>
      <c r="AK35" s="197"/>
      <c r="AL35" s="198"/>
      <c r="AM35" s="198"/>
      <c r="AN35" s="198"/>
      <c r="AQ35" s="28"/>
    </row>
    <row r="36" spans="2:43" ht="3" customHeight="1"/>
    <row r="37" spans="2:43">
      <c r="B37" s="199" t="s">
        <v>29</v>
      </c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 t="s">
        <v>30</v>
      </c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 t="s">
        <v>31</v>
      </c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</row>
    <row r="38" spans="2:43" s="5" customFormat="1" ht="9">
      <c r="B38" s="187" t="s">
        <v>63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9"/>
      <c r="N38" s="187" t="s">
        <v>64</v>
      </c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9"/>
      <c r="AA38" s="187" t="s">
        <v>65</v>
      </c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9"/>
    </row>
    <row r="39" spans="2:43" s="5" customFormat="1" ht="12.75" customHeight="1">
      <c r="B39" s="15" t="s">
        <v>32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  <c r="N39" s="15" t="s">
        <v>32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5" t="s">
        <v>32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7"/>
    </row>
    <row r="40" spans="2:43" s="5" customFormat="1" ht="27.75" customHeight="1">
      <c r="B40" s="18"/>
      <c r="C40" s="4"/>
      <c r="D40" s="4"/>
      <c r="E40" s="4"/>
      <c r="F40" s="4"/>
      <c r="G40" s="4"/>
      <c r="H40" s="4"/>
      <c r="I40" s="4"/>
      <c r="J40" s="4"/>
      <c r="K40" s="4"/>
      <c r="L40" s="4"/>
      <c r="M40" s="19"/>
      <c r="N40" s="1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19"/>
      <c r="AA40" s="18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19"/>
    </row>
    <row r="41" spans="2:43" s="5" customFormat="1" ht="11.25" customHeight="1">
      <c r="B41" s="20" t="s">
        <v>33</v>
      </c>
      <c r="C41" s="21"/>
      <c r="D41" s="21"/>
      <c r="E41" s="21"/>
      <c r="F41" s="21"/>
      <c r="G41" s="21" t="s">
        <v>34</v>
      </c>
      <c r="H41" s="21"/>
      <c r="I41" s="21"/>
      <c r="J41" s="21"/>
      <c r="K41" s="21"/>
      <c r="L41" s="21"/>
      <c r="M41" s="22"/>
      <c r="N41" s="20" t="s">
        <v>33</v>
      </c>
      <c r="O41" s="21"/>
      <c r="P41" s="21"/>
      <c r="Q41" s="21"/>
      <c r="R41" s="21"/>
      <c r="S41" s="21" t="s">
        <v>34</v>
      </c>
      <c r="T41" s="21"/>
      <c r="U41" s="21"/>
      <c r="V41" s="21"/>
      <c r="W41" s="21"/>
      <c r="X41" s="21"/>
      <c r="Y41" s="21"/>
      <c r="Z41" s="22"/>
      <c r="AA41" s="20" t="s">
        <v>33</v>
      </c>
      <c r="AB41" s="21"/>
      <c r="AC41" s="21"/>
      <c r="AD41" s="21"/>
      <c r="AE41" s="21"/>
      <c r="AF41" s="21" t="s">
        <v>34</v>
      </c>
      <c r="AG41" s="21"/>
      <c r="AH41" s="21"/>
      <c r="AI41" s="21"/>
      <c r="AJ41" s="21"/>
      <c r="AK41" s="21"/>
      <c r="AL41" s="21"/>
      <c r="AM41" s="21"/>
      <c r="AN41" s="22"/>
    </row>
    <row r="42" spans="2:43" ht="3" customHeight="1"/>
  </sheetData>
  <mergeCells count="185">
    <mergeCell ref="B12:E12"/>
    <mergeCell ref="F12:Q13"/>
    <mergeCell ref="U12:Z13"/>
    <mergeCell ref="AE12:AM13"/>
    <mergeCell ref="F15:Q16"/>
    <mergeCell ref="V15:Z16"/>
    <mergeCell ref="AF15:AM16"/>
    <mergeCell ref="B2:AN3"/>
    <mergeCell ref="B4:AN4"/>
    <mergeCell ref="B5:AN5"/>
    <mergeCell ref="F9:K10"/>
    <mergeCell ref="N9:Z10"/>
    <mergeCell ref="AD9:AM10"/>
    <mergeCell ref="B22:D22"/>
    <mergeCell ref="E22:G22"/>
    <mergeCell ref="H22:J22"/>
    <mergeCell ref="K22:N22"/>
    <mergeCell ref="O22:Q22"/>
    <mergeCell ref="B19:D21"/>
    <mergeCell ref="E19:G21"/>
    <mergeCell ref="H19:J21"/>
    <mergeCell ref="K19:N21"/>
    <mergeCell ref="O19:Q21"/>
    <mergeCell ref="R22:V22"/>
    <mergeCell ref="W22:Y22"/>
    <mergeCell ref="Z22:AB22"/>
    <mergeCell ref="AC22:AF22"/>
    <mergeCell ref="AG22:AJ22"/>
    <mergeCell ref="AK22:AN22"/>
    <mergeCell ref="W19:Y21"/>
    <mergeCell ref="Z19:AB21"/>
    <mergeCell ref="AC19:AF21"/>
    <mergeCell ref="AG19:AJ21"/>
    <mergeCell ref="AK19:AN21"/>
    <mergeCell ref="R19:V21"/>
    <mergeCell ref="B24:D24"/>
    <mergeCell ref="E24:G24"/>
    <mergeCell ref="H24:J24"/>
    <mergeCell ref="K24:N24"/>
    <mergeCell ref="O24:Q24"/>
    <mergeCell ref="B23:D23"/>
    <mergeCell ref="E23:G23"/>
    <mergeCell ref="H23:J23"/>
    <mergeCell ref="K23:N23"/>
    <mergeCell ref="O23:Q23"/>
    <mergeCell ref="R24:V24"/>
    <mergeCell ref="W24:Y24"/>
    <mergeCell ref="Z24:AB24"/>
    <mergeCell ref="AC24:AF24"/>
    <mergeCell ref="AG24:AJ24"/>
    <mergeCell ref="AK24:AN24"/>
    <mergeCell ref="W23:Y23"/>
    <mergeCell ref="Z23:AB23"/>
    <mergeCell ref="AC23:AF23"/>
    <mergeCell ref="AG23:AJ23"/>
    <mergeCell ref="AK23:AN23"/>
    <mergeCell ref="R23:V23"/>
    <mergeCell ref="B26:D26"/>
    <mergeCell ref="E26:G26"/>
    <mergeCell ref="H26:J26"/>
    <mergeCell ref="K26:N26"/>
    <mergeCell ref="O26:Q26"/>
    <mergeCell ref="B25:D25"/>
    <mergeCell ref="E25:G25"/>
    <mergeCell ref="H25:J25"/>
    <mergeCell ref="K25:N25"/>
    <mergeCell ref="O25:Q25"/>
    <mergeCell ref="R26:V26"/>
    <mergeCell ref="W26:Y26"/>
    <mergeCell ref="Z26:AB26"/>
    <mergeCell ref="AC26:AF26"/>
    <mergeCell ref="AG26:AJ26"/>
    <mergeCell ref="AK26:AN26"/>
    <mergeCell ref="W25:Y25"/>
    <mergeCell ref="Z25:AB25"/>
    <mergeCell ref="AC25:AF25"/>
    <mergeCell ref="AG25:AJ25"/>
    <mergeCell ref="AK25:AN25"/>
    <mergeCell ref="R25:V25"/>
    <mergeCell ref="B28:D28"/>
    <mergeCell ref="E28:G28"/>
    <mergeCell ref="H28:J28"/>
    <mergeCell ref="K28:N28"/>
    <mergeCell ref="O28:Q28"/>
    <mergeCell ref="B27:D27"/>
    <mergeCell ref="E27:G27"/>
    <mergeCell ref="H27:J27"/>
    <mergeCell ref="K27:N27"/>
    <mergeCell ref="O27:Q27"/>
    <mergeCell ref="R28:V28"/>
    <mergeCell ref="W28:Y28"/>
    <mergeCell ref="Z28:AB28"/>
    <mergeCell ref="AC28:AF28"/>
    <mergeCell ref="AG28:AJ28"/>
    <mergeCell ref="AK28:AN28"/>
    <mergeCell ref="W27:Y27"/>
    <mergeCell ref="Z27:AB27"/>
    <mergeCell ref="AC27:AF27"/>
    <mergeCell ref="AG27:AJ27"/>
    <mergeCell ref="AK27:AN27"/>
    <mergeCell ref="R27:V27"/>
    <mergeCell ref="B30:D30"/>
    <mergeCell ref="E30:G30"/>
    <mergeCell ref="H30:J30"/>
    <mergeCell ref="K30:N30"/>
    <mergeCell ref="O30:Q30"/>
    <mergeCell ref="B29:D29"/>
    <mergeCell ref="E29:G29"/>
    <mergeCell ref="H29:J29"/>
    <mergeCell ref="K29:N29"/>
    <mergeCell ref="O29:Q29"/>
    <mergeCell ref="R30:V30"/>
    <mergeCell ref="W30:Y30"/>
    <mergeCell ref="Z30:AB30"/>
    <mergeCell ref="AC30:AF30"/>
    <mergeCell ref="AG30:AJ30"/>
    <mergeCell ref="AK30:AN30"/>
    <mergeCell ref="W29:Y29"/>
    <mergeCell ref="Z29:AB29"/>
    <mergeCell ref="AC29:AF29"/>
    <mergeCell ref="AG29:AJ29"/>
    <mergeCell ref="AK29:AN29"/>
    <mergeCell ref="R29:V29"/>
    <mergeCell ref="B32:D32"/>
    <mergeCell ref="E32:G32"/>
    <mergeCell ref="H32:J32"/>
    <mergeCell ref="K32:N32"/>
    <mergeCell ref="O32:Q32"/>
    <mergeCell ref="B31:D31"/>
    <mergeCell ref="E31:G31"/>
    <mergeCell ref="H31:J31"/>
    <mergeCell ref="K31:N31"/>
    <mergeCell ref="O31:Q31"/>
    <mergeCell ref="R32:V32"/>
    <mergeCell ref="W32:Y32"/>
    <mergeCell ref="Z32:AB32"/>
    <mergeCell ref="AC32:AF32"/>
    <mergeCell ref="AG32:AJ32"/>
    <mergeCell ref="AK32:AN32"/>
    <mergeCell ref="W31:Y31"/>
    <mergeCell ref="Z31:AB31"/>
    <mergeCell ref="AC31:AF31"/>
    <mergeCell ref="AG31:AJ31"/>
    <mergeCell ref="AK31:AN31"/>
    <mergeCell ref="R31:V31"/>
    <mergeCell ref="W33:Y33"/>
    <mergeCell ref="Z33:AB33"/>
    <mergeCell ref="AC33:AF33"/>
    <mergeCell ref="AG33:AJ33"/>
    <mergeCell ref="AK33:AN33"/>
    <mergeCell ref="B34:D34"/>
    <mergeCell ref="E34:G34"/>
    <mergeCell ref="H34:J34"/>
    <mergeCell ref="K34:N34"/>
    <mergeCell ref="O34:Q34"/>
    <mergeCell ref="B33:D33"/>
    <mergeCell ref="E33:G33"/>
    <mergeCell ref="H33:J33"/>
    <mergeCell ref="K33:N33"/>
    <mergeCell ref="O33:Q33"/>
    <mergeCell ref="R33:V33"/>
    <mergeCell ref="B38:M38"/>
    <mergeCell ref="N38:Z38"/>
    <mergeCell ref="AA38:AN38"/>
    <mergeCell ref="AH6:AN6"/>
    <mergeCell ref="W35:Y35"/>
    <mergeCell ref="Z35:AB35"/>
    <mergeCell ref="AC35:AF35"/>
    <mergeCell ref="AG35:AJ35"/>
    <mergeCell ref="AK35:AN35"/>
    <mergeCell ref="B37:M37"/>
    <mergeCell ref="N37:Z37"/>
    <mergeCell ref="AA37:AN37"/>
    <mergeCell ref="B35:D35"/>
    <mergeCell ref="E35:G35"/>
    <mergeCell ref="H35:J35"/>
    <mergeCell ref="K35:N35"/>
    <mergeCell ref="O35:Q35"/>
    <mergeCell ref="R35:V35"/>
    <mergeCell ref="R34:V34"/>
    <mergeCell ref="W34:Y34"/>
    <mergeCell ref="Z34:AB34"/>
    <mergeCell ref="AC34:AF34"/>
    <mergeCell ref="AG34:AJ34"/>
    <mergeCell ref="AK34:AN34"/>
  </mergeCells>
  <pageMargins left="0.7" right="0.7" top="0.75" bottom="0.75" header="0.3" footer="0.3"/>
  <pageSetup paperSize="9" scale="9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"/>
  <sheetViews>
    <sheetView topLeftCell="A2" zoomScale="130" zoomScaleNormal="130" workbookViewId="0">
      <selection activeCell="C15" sqref="C15"/>
    </sheetView>
  </sheetViews>
  <sheetFormatPr defaultColWidth="11.42578125" defaultRowHeight="12.75"/>
  <cols>
    <col min="1" max="2" width="11.7109375" style="29" customWidth="1"/>
    <col min="3" max="4" width="11.7109375" style="39" customWidth="1"/>
    <col min="5" max="6" width="11.5703125" style="39" customWidth="1"/>
    <col min="7" max="7" width="11.5703125" customWidth="1"/>
  </cols>
  <sheetData>
    <row r="1" spans="1:36" ht="51.95" customHeight="1">
      <c r="A1" s="235" t="s">
        <v>66</v>
      </c>
      <c r="B1" s="235"/>
      <c r="C1" s="235"/>
      <c r="D1" s="235"/>
      <c r="E1" s="235"/>
      <c r="F1" s="235"/>
      <c r="G1" s="235"/>
      <c r="H1" s="235"/>
      <c r="I1" s="235"/>
    </row>
    <row r="2" spans="1:36" ht="63" customHeight="1">
      <c r="A2" s="58" t="s">
        <v>67</v>
      </c>
      <c r="B2" s="58" t="s">
        <v>68</v>
      </c>
      <c r="C2" s="58" t="s">
        <v>69</v>
      </c>
      <c r="D2" s="58" t="s">
        <v>70</v>
      </c>
      <c r="E2" s="58" t="s">
        <v>71</v>
      </c>
      <c r="F2" s="58" t="s">
        <v>72</v>
      </c>
      <c r="G2" s="58" t="s">
        <v>73</v>
      </c>
      <c r="H2" s="58" t="s">
        <v>74</v>
      </c>
      <c r="I2" s="58" t="s">
        <v>75</v>
      </c>
      <c r="J2" s="58" t="s">
        <v>76</v>
      </c>
      <c r="K2" s="58" t="s">
        <v>77</v>
      </c>
      <c r="L2" s="58" t="s">
        <v>78</v>
      </c>
      <c r="M2" s="58" t="s">
        <v>79</v>
      </c>
      <c r="N2" s="58" t="s">
        <v>80</v>
      </c>
      <c r="O2" s="58" t="s">
        <v>81</v>
      </c>
      <c r="P2" s="58" t="s">
        <v>82</v>
      </c>
      <c r="Q2" s="58" t="s">
        <v>83</v>
      </c>
      <c r="R2" s="58" t="s">
        <v>84</v>
      </c>
    </row>
    <row r="3" spans="1:36" ht="12.6" customHeight="1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36" ht="12.6" customHeight="1">
      <c r="A4" s="43">
        <v>0.25</v>
      </c>
      <c r="B4" s="44">
        <f t="shared" ref="B4:B25" si="0">$AG$5*A4</f>
        <v>6.35</v>
      </c>
      <c r="C4" s="45">
        <v>8</v>
      </c>
      <c r="D4" s="46">
        <f t="shared" ref="D4:D25" si="1">C4*$AI$9</f>
        <v>1.106039635008</v>
      </c>
      <c r="E4" s="46">
        <f t="shared" ref="E4:E25" si="2">C4*$AH$9</f>
        <v>10.846399999999999</v>
      </c>
      <c r="F4" s="46"/>
      <c r="G4" s="54"/>
      <c r="H4" s="54"/>
      <c r="I4" s="54"/>
      <c r="J4" s="54"/>
      <c r="K4" s="54"/>
      <c r="L4" s="54"/>
      <c r="M4" s="54">
        <v>24345</v>
      </c>
      <c r="N4" s="54">
        <v>41355</v>
      </c>
      <c r="O4" s="54">
        <v>56955</v>
      </c>
      <c r="P4" s="54">
        <v>87900</v>
      </c>
      <c r="Q4" s="54">
        <v>104070</v>
      </c>
      <c r="R4" s="54">
        <v>126435</v>
      </c>
      <c r="S4" s="40" t="s">
        <v>85</v>
      </c>
      <c r="T4" s="40" t="s">
        <v>86</v>
      </c>
    </row>
    <row r="5" spans="1:36" ht="13.5" thickBot="1">
      <c r="A5" s="47">
        <v>0.3125</v>
      </c>
      <c r="B5" s="48">
        <f t="shared" si="0"/>
        <v>7.9375</v>
      </c>
      <c r="C5" s="49">
        <v>16</v>
      </c>
      <c r="D5" s="50">
        <f t="shared" si="1"/>
        <v>2.2120792700159999</v>
      </c>
      <c r="E5" s="50">
        <f t="shared" si="2"/>
        <v>21.692799999999998</v>
      </c>
      <c r="F5" s="50"/>
      <c r="G5" s="55"/>
      <c r="H5" s="55"/>
      <c r="I5" s="55"/>
      <c r="J5" s="55"/>
      <c r="K5" s="55"/>
      <c r="L5" s="55"/>
      <c r="M5" s="55">
        <v>162300</v>
      </c>
      <c r="N5" s="55">
        <v>275700</v>
      </c>
      <c r="O5" s="55">
        <v>379700</v>
      </c>
      <c r="P5" s="55">
        <v>586000</v>
      </c>
      <c r="Q5" s="55">
        <v>693800</v>
      </c>
      <c r="R5" s="55">
        <v>842900</v>
      </c>
      <c r="S5" s="40" t="s">
        <v>85</v>
      </c>
      <c r="T5" s="40" t="s">
        <v>87</v>
      </c>
      <c r="AG5">
        <v>25.4</v>
      </c>
    </row>
    <row r="6" spans="1:36" ht="15">
      <c r="A6" s="51">
        <v>0.375</v>
      </c>
      <c r="B6" s="48">
        <f t="shared" si="0"/>
        <v>9.5249999999999986</v>
      </c>
      <c r="C6" s="49">
        <v>24</v>
      </c>
      <c r="D6" s="50">
        <f t="shared" si="1"/>
        <v>3.3181189050239999</v>
      </c>
      <c r="E6" s="50">
        <f t="shared" si="2"/>
        <v>32.539199999999994</v>
      </c>
      <c r="F6" s="50"/>
      <c r="G6" s="55"/>
      <c r="H6" s="55"/>
      <c r="I6" s="55"/>
      <c r="J6" s="55"/>
      <c r="K6" s="55"/>
      <c r="L6" s="55"/>
      <c r="M6" s="60">
        <f t="shared" ref="M6:R7" si="3">M4*$AI$9</f>
        <v>3365.81686428372</v>
      </c>
      <c r="N6" s="60">
        <f t="shared" si="3"/>
        <v>5717.5336382194801</v>
      </c>
      <c r="O6" s="60">
        <f t="shared" si="3"/>
        <v>7874.31092648508</v>
      </c>
      <c r="P6" s="60">
        <f t="shared" si="3"/>
        <v>12152.6104896504</v>
      </c>
      <c r="Q6" s="60">
        <f t="shared" si="3"/>
        <v>14388.193101910319</v>
      </c>
      <c r="R6" s="60">
        <f t="shared" si="3"/>
        <v>17480.26515652956</v>
      </c>
      <c r="S6" s="40" t="s">
        <v>88</v>
      </c>
      <c r="T6" s="40" t="s">
        <v>86</v>
      </c>
      <c r="AG6" s="34" t="s">
        <v>89</v>
      </c>
      <c r="AH6" s="35" t="s">
        <v>90</v>
      </c>
      <c r="AI6" s="35" t="s">
        <v>91</v>
      </c>
      <c r="AJ6" s="36" t="s">
        <v>92</v>
      </c>
    </row>
    <row r="7" spans="1:36" ht="15">
      <c r="A7" s="47">
        <v>0.4375</v>
      </c>
      <c r="B7" s="48">
        <f t="shared" si="0"/>
        <v>11.112499999999999</v>
      </c>
      <c r="C7" s="49">
        <v>40</v>
      </c>
      <c r="D7" s="50">
        <f t="shared" si="1"/>
        <v>5.5301981750399998</v>
      </c>
      <c r="E7" s="50">
        <f t="shared" si="2"/>
        <v>54.231999999999999</v>
      </c>
      <c r="F7" s="50"/>
      <c r="G7" s="55"/>
      <c r="H7" s="55"/>
      <c r="I7" s="55"/>
      <c r="J7" s="55"/>
      <c r="K7" s="55"/>
      <c r="L7" s="55"/>
      <c r="M7" s="60">
        <f t="shared" si="3"/>
        <v>22438.7790952248</v>
      </c>
      <c r="N7" s="60">
        <f t="shared" si="3"/>
        <v>38116.8909214632</v>
      </c>
      <c r="O7" s="60">
        <f t="shared" si="3"/>
        <v>52495.406176567201</v>
      </c>
      <c r="P7" s="60">
        <f t="shared" si="3"/>
        <v>81017.403264335997</v>
      </c>
      <c r="Q7" s="60">
        <f t="shared" si="3"/>
        <v>95921.287346068799</v>
      </c>
      <c r="R7" s="60">
        <f t="shared" si="3"/>
        <v>116535.10104353039</v>
      </c>
      <c r="S7" s="40" t="s">
        <v>88</v>
      </c>
      <c r="T7" s="40" t="s">
        <v>87</v>
      </c>
      <c r="AG7" s="37" t="s">
        <v>90</v>
      </c>
      <c r="AH7" s="30">
        <v>1</v>
      </c>
      <c r="AI7" s="30">
        <v>0.10197199999999999</v>
      </c>
      <c r="AJ7" s="31">
        <v>0.73760000000000003</v>
      </c>
    </row>
    <row r="8" spans="1:36" ht="15">
      <c r="A8" s="47">
        <v>0.5</v>
      </c>
      <c r="B8" s="48">
        <f t="shared" si="0"/>
        <v>12.7</v>
      </c>
      <c r="C8" s="49">
        <v>60</v>
      </c>
      <c r="D8" s="50">
        <f t="shared" si="1"/>
        <v>8.2952972625600001</v>
      </c>
      <c r="E8" s="50">
        <f t="shared" si="2"/>
        <v>81.347999999999999</v>
      </c>
      <c r="F8" s="50"/>
      <c r="G8" s="55"/>
      <c r="H8" s="55"/>
      <c r="I8" s="55"/>
      <c r="J8" s="55"/>
      <c r="K8" s="55"/>
      <c r="L8" s="55"/>
      <c r="M8" s="60">
        <f t="shared" ref="M8:R9" si="4">M4*$AH$9</f>
        <v>33006.951000000001</v>
      </c>
      <c r="N8" s="60">
        <f t="shared" si="4"/>
        <v>56069.108999999997</v>
      </c>
      <c r="O8" s="60">
        <f t="shared" si="4"/>
        <v>77219.588999999993</v>
      </c>
      <c r="P8" s="60">
        <f t="shared" si="4"/>
        <v>119174.81999999999</v>
      </c>
      <c r="Q8" s="60">
        <f t="shared" si="4"/>
        <v>141098.106</v>
      </c>
      <c r="R8" s="60">
        <f t="shared" si="4"/>
        <v>171420.57299999997</v>
      </c>
      <c r="S8" s="40" t="s">
        <v>93</v>
      </c>
      <c r="T8" s="40" t="s">
        <v>86</v>
      </c>
      <c r="AG8" s="37" t="s">
        <v>91</v>
      </c>
      <c r="AH8" s="30">
        <v>9.8066499999999994</v>
      </c>
      <c r="AI8" s="30">
        <v>1</v>
      </c>
      <c r="AJ8" s="31">
        <v>7.23</v>
      </c>
    </row>
    <row r="9" spans="1:36" ht="15.75" thickBot="1">
      <c r="A9" s="47">
        <v>0.5625</v>
      </c>
      <c r="B9" s="48">
        <f t="shared" si="0"/>
        <v>14.2875</v>
      </c>
      <c r="C9" s="49">
        <v>90</v>
      </c>
      <c r="D9" s="50">
        <f t="shared" si="1"/>
        <v>12.442945893839999</v>
      </c>
      <c r="E9" s="50">
        <f t="shared" si="2"/>
        <v>122.02199999999999</v>
      </c>
      <c r="F9" s="55">
        <v>115</v>
      </c>
      <c r="G9" s="55"/>
      <c r="H9" s="55"/>
      <c r="I9" s="55"/>
      <c r="J9" s="55"/>
      <c r="K9" s="55"/>
      <c r="L9" s="55"/>
      <c r="M9" s="60">
        <f t="shared" si="4"/>
        <v>220046.34</v>
      </c>
      <c r="N9" s="60">
        <f t="shared" si="4"/>
        <v>373794.06</v>
      </c>
      <c r="O9" s="60">
        <f t="shared" si="4"/>
        <v>514797.25999999995</v>
      </c>
      <c r="P9" s="60">
        <f t="shared" si="4"/>
        <v>794498.79999999993</v>
      </c>
      <c r="Q9" s="60">
        <f t="shared" si="4"/>
        <v>940654.03999999992</v>
      </c>
      <c r="R9" s="60">
        <f t="shared" si="4"/>
        <v>1142803.8199999998</v>
      </c>
      <c r="S9" s="40" t="s">
        <v>93</v>
      </c>
      <c r="T9" s="40" t="s">
        <v>87</v>
      </c>
      <c r="AG9" s="38" t="s">
        <v>92</v>
      </c>
      <c r="AH9" s="32">
        <v>1.3557999999999999</v>
      </c>
      <c r="AI9" s="32">
        <v>0.13825495437599999</v>
      </c>
      <c r="AJ9" s="33">
        <v>1</v>
      </c>
    </row>
    <row r="10" spans="1:36">
      <c r="A10" s="51">
        <v>0.625</v>
      </c>
      <c r="B10" s="48">
        <f t="shared" si="0"/>
        <v>15.875</v>
      </c>
      <c r="C10" s="49">
        <v>120</v>
      </c>
      <c r="D10" s="50">
        <f t="shared" si="1"/>
        <v>16.59059452512</v>
      </c>
      <c r="E10" s="50">
        <f t="shared" si="2"/>
        <v>162.696</v>
      </c>
      <c r="F10" s="59"/>
      <c r="G10" s="55">
        <v>193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</row>
    <row r="11" spans="1:36">
      <c r="A11" s="51">
        <v>0.75</v>
      </c>
      <c r="B11" s="48">
        <f t="shared" si="0"/>
        <v>19.049999999999997</v>
      </c>
      <c r="C11" s="49">
        <v>200</v>
      </c>
      <c r="D11" s="50">
        <f t="shared" si="1"/>
        <v>27.650990875199998</v>
      </c>
      <c r="E11" s="50">
        <f t="shared" si="2"/>
        <v>271.15999999999997</v>
      </c>
      <c r="F11" s="59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 spans="1:36">
      <c r="A12" s="51">
        <v>0.875</v>
      </c>
      <c r="B12" s="48">
        <f t="shared" si="0"/>
        <v>22.224999999999998</v>
      </c>
      <c r="C12" s="49">
        <v>320</v>
      </c>
      <c r="D12" s="50">
        <f t="shared" si="1"/>
        <v>44.241585400319998</v>
      </c>
      <c r="E12" s="50">
        <f t="shared" si="2"/>
        <v>433.85599999999999</v>
      </c>
      <c r="F12" s="59"/>
      <c r="G12" s="56"/>
      <c r="H12" s="55">
        <v>445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</row>
    <row r="13" spans="1:36">
      <c r="A13" s="47">
        <v>1</v>
      </c>
      <c r="B13" s="48">
        <f t="shared" si="0"/>
        <v>25.4</v>
      </c>
      <c r="C13" s="49">
        <v>490</v>
      </c>
      <c r="D13" s="50">
        <f t="shared" si="1"/>
        <v>67.744927644239993</v>
      </c>
      <c r="E13" s="50">
        <f t="shared" si="2"/>
        <v>664.34199999999998</v>
      </c>
      <c r="F13" s="59"/>
      <c r="G13" s="56"/>
      <c r="H13" s="56"/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 spans="1:36">
      <c r="A14" s="51">
        <v>1.125</v>
      </c>
      <c r="B14" s="48">
        <f t="shared" si="0"/>
        <v>28.574999999999999</v>
      </c>
      <c r="C14" s="49">
        <v>710</v>
      </c>
      <c r="D14" s="50">
        <f t="shared" si="1"/>
        <v>98.161017606960002</v>
      </c>
      <c r="E14" s="50">
        <f t="shared" si="2"/>
        <v>962.61799999999994</v>
      </c>
      <c r="F14" s="55">
        <v>767</v>
      </c>
      <c r="G14" s="56"/>
      <c r="H14" s="56"/>
      <c r="I14" s="55">
        <v>804</v>
      </c>
      <c r="J14" s="55"/>
      <c r="K14" s="55"/>
      <c r="L14" s="55"/>
      <c r="M14" s="55"/>
      <c r="N14" s="55"/>
      <c r="O14" s="55"/>
      <c r="P14" s="55"/>
      <c r="Q14" s="55"/>
      <c r="R14" s="55"/>
    </row>
    <row r="15" spans="1:36">
      <c r="A15" s="51">
        <v>1.25</v>
      </c>
      <c r="B15" s="48">
        <f t="shared" si="0"/>
        <v>31.75</v>
      </c>
      <c r="C15" s="49">
        <v>1000</v>
      </c>
      <c r="D15" s="50">
        <f t="shared" si="1"/>
        <v>138.254954376</v>
      </c>
      <c r="E15" s="50">
        <f t="shared" si="2"/>
        <v>1355.8</v>
      </c>
      <c r="F15" s="50"/>
      <c r="G15" s="56"/>
      <c r="H15" s="56"/>
      <c r="I15" s="56"/>
      <c r="J15" s="55">
        <v>1164</v>
      </c>
      <c r="K15" s="55"/>
      <c r="L15" s="55"/>
      <c r="M15" s="55"/>
      <c r="N15" s="55"/>
      <c r="O15" s="55"/>
      <c r="P15" s="55"/>
      <c r="Q15" s="55"/>
      <c r="R15" s="55"/>
    </row>
    <row r="16" spans="1:36">
      <c r="A16" s="51">
        <v>1.375</v>
      </c>
      <c r="B16" s="48">
        <f t="shared" si="0"/>
        <v>34.924999999999997</v>
      </c>
      <c r="C16" s="49">
        <v>1360</v>
      </c>
      <c r="D16" s="50">
        <f t="shared" si="1"/>
        <v>188.02673795135999</v>
      </c>
      <c r="E16" s="50">
        <f t="shared" si="2"/>
        <v>1843.8879999999999</v>
      </c>
      <c r="F16" s="50"/>
      <c r="G16" s="55">
        <v>1284</v>
      </c>
      <c r="H16" s="56"/>
      <c r="I16" s="56"/>
      <c r="J16" s="56"/>
      <c r="K16" s="55"/>
      <c r="L16" s="55"/>
      <c r="M16" s="55"/>
      <c r="N16" s="55"/>
      <c r="O16" s="55"/>
      <c r="P16" s="55"/>
      <c r="Q16" s="55"/>
      <c r="R16" s="55"/>
    </row>
    <row r="17" spans="1:18">
      <c r="A17" s="51">
        <v>1.5</v>
      </c>
      <c r="B17" s="48">
        <f t="shared" si="0"/>
        <v>38.099999999999994</v>
      </c>
      <c r="C17" s="49">
        <v>1600</v>
      </c>
      <c r="D17" s="50">
        <f t="shared" si="1"/>
        <v>221.20792700159998</v>
      </c>
      <c r="E17" s="50">
        <f t="shared" si="2"/>
        <v>2169.2799999999997</v>
      </c>
      <c r="F17" s="50"/>
      <c r="G17" s="55"/>
      <c r="H17" s="56"/>
      <c r="I17" s="56"/>
      <c r="J17" s="56"/>
      <c r="K17" s="55">
        <v>1761</v>
      </c>
      <c r="L17" s="55"/>
      <c r="M17" s="55"/>
      <c r="N17" s="55"/>
      <c r="O17" s="55"/>
      <c r="P17" s="55"/>
      <c r="Q17" s="55"/>
      <c r="R17" s="55"/>
    </row>
    <row r="18" spans="1:18">
      <c r="A18" s="51">
        <v>1.625</v>
      </c>
      <c r="B18" s="48">
        <f t="shared" si="0"/>
        <v>41.274999999999999</v>
      </c>
      <c r="C18" s="49">
        <v>2200</v>
      </c>
      <c r="D18" s="50">
        <f t="shared" si="1"/>
        <v>304.16089962719997</v>
      </c>
      <c r="E18" s="50">
        <f t="shared" si="2"/>
        <v>2982.7599999999998</v>
      </c>
      <c r="F18" s="50"/>
      <c r="G18" s="55"/>
      <c r="H18" s="56"/>
      <c r="I18" s="56"/>
      <c r="J18" s="56"/>
      <c r="K18" s="56"/>
      <c r="L18" s="55">
        <v>2760</v>
      </c>
      <c r="M18" s="55"/>
      <c r="N18" s="55"/>
      <c r="O18" s="55"/>
      <c r="P18" s="55"/>
      <c r="Q18" s="55"/>
      <c r="R18" s="55"/>
    </row>
    <row r="19" spans="1:18">
      <c r="A19" s="51">
        <v>1.75</v>
      </c>
      <c r="B19" s="48">
        <f t="shared" si="0"/>
        <v>44.449999999999996</v>
      </c>
      <c r="C19" s="49">
        <v>3000</v>
      </c>
      <c r="D19" s="50">
        <f t="shared" si="1"/>
        <v>414.764863128</v>
      </c>
      <c r="E19" s="50">
        <f t="shared" si="2"/>
        <v>4067.3999999999996</v>
      </c>
      <c r="F19" s="50"/>
      <c r="G19" s="55"/>
      <c r="H19" s="55">
        <v>2861</v>
      </c>
      <c r="I19" s="56"/>
      <c r="J19" s="56"/>
      <c r="K19" s="56"/>
      <c r="L19" s="56"/>
      <c r="M19" s="55"/>
      <c r="N19" s="55"/>
      <c r="O19" s="55"/>
      <c r="P19" s="55"/>
      <c r="Q19" s="55"/>
      <c r="R19" s="55"/>
    </row>
    <row r="20" spans="1:18">
      <c r="A20" s="51">
        <v>1.875</v>
      </c>
      <c r="B20" s="48">
        <f t="shared" si="0"/>
        <v>47.625</v>
      </c>
      <c r="C20" s="49">
        <v>4000</v>
      </c>
      <c r="D20" s="50">
        <f t="shared" si="1"/>
        <v>553.019817504</v>
      </c>
      <c r="E20" s="50">
        <f t="shared" si="2"/>
        <v>5423.2</v>
      </c>
      <c r="F20" s="50"/>
      <c r="G20" s="55"/>
      <c r="H20" s="55"/>
      <c r="I20" s="56"/>
      <c r="J20" s="56"/>
      <c r="K20" s="56"/>
      <c r="L20" s="56"/>
      <c r="M20" s="55"/>
      <c r="N20" s="55"/>
      <c r="O20" s="55"/>
      <c r="P20" s="55"/>
      <c r="Q20" s="55"/>
      <c r="R20" s="55"/>
    </row>
    <row r="21" spans="1:18">
      <c r="A21" s="51">
        <v>2</v>
      </c>
      <c r="B21" s="48">
        <f t="shared" si="0"/>
        <v>50.8</v>
      </c>
      <c r="C21" s="49">
        <v>4400</v>
      </c>
      <c r="D21" s="50">
        <f t="shared" si="1"/>
        <v>608.32179925439993</v>
      </c>
      <c r="E21" s="50">
        <f t="shared" si="2"/>
        <v>5965.5199999999995</v>
      </c>
      <c r="F21" s="50"/>
      <c r="G21" s="55"/>
      <c r="H21" s="55"/>
      <c r="I21" s="56"/>
      <c r="J21" s="56"/>
      <c r="K21" s="56"/>
      <c r="L21" s="56"/>
      <c r="M21" s="55"/>
      <c r="N21" s="55"/>
      <c r="O21" s="55"/>
      <c r="P21" s="55"/>
      <c r="Q21" s="55"/>
      <c r="R21" s="55"/>
    </row>
    <row r="22" spans="1:18">
      <c r="A22" s="51">
        <v>2.25</v>
      </c>
      <c r="B22" s="48">
        <f t="shared" si="0"/>
        <v>57.15</v>
      </c>
      <c r="C22" s="49">
        <v>6360</v>
      </c>
      <c r="D22" s="50">
        <f t="shared" si="1"/>
        <v>879.30150983135991</v>
      </c>
      <c r="E22" s="50">
        <f t="shared" si="2"/>
        <v>8622.887999999999</v>
      </c>
      <c r="F22" s="50"/>
      <c r="G22" s="55"/>
      <c r="H22" s="55"/>
      <c r="I22" s="55">
        <v>5360</v>
      </c>
      <c r="J22" s="56"/>
      <c r="K22" s="56"/>
      <c r="L22" s="56"/>
      <c r="M22" s="55"/>
      <c r="N22" s="55"/>
      <c r="O22" s="55"/>
      <c r="P22" s="55"/>
      <c r="Q22" s="55"/>
      <c r="R22" s="55"/>
    </row>
    <row r="23" spans="1:18">
      <c r="A23" s="51">
        <v>2.5</v>
      </c>
      <c r="B23" s="48">
        <f t="shared" si="0"/>
        <v>63.5</v>
      </c>
      <c r="C23" s="49">
        <v>8800</v>
      </c>
      <c r="D23" s="50">
        <f t="shared" si="1"/>
        <v>1216.6435985087999</v>
      </c>
      <c r="E23" s="50">
        <f t="shared" si="2"/>
        <v>11931.039999999999</v>
      </c>
      <c r="F23" s="50"/>
      <c r="G23" s="55"/>
      <c r="H23" s="55"/>
      <c r="I23" s="55"/>
      <c r="J23" s="55">
        <v>7760</v>
      </c>
      <c r="K23" s="56"/>
      <c r="L23" s="56"/>
      <c r="M23" s="55"/>
      <c r="N23" s="55"/>
      <c r="O23" s="55"/>
      <c r="P23" s="55"/>
      <c r="Q23" s="55"/>
      <c r="R23" s="55"/>
    </row>
    <row r="24" spans="1:18">
      <c r="A24" s="51">
        <v>2.75</v>
      </c>
      <c r="B24" s="48">
        <f t="shared" si="0"/>
        <v>69.849999999999994</v>
      </c>
      <c r="C24" s="49">
        <v>11840</v>
      </c>
      <c r="D24" s="50">
        <f t="shared" si="1"/>
        <v>1636.9386598118399</v>
      </c>
      <c r="E24" s="50">
        <f t="shared" si="2"/>
        <v>16052.671999999999</v>
      </c>
      <c r="F24" s="50"/>
      <c r="G24" s="55"/>
      <c r="H24" s="55"/>
      <c r="I24" s="55"/>
      <c r="J24" s="55"/>
      <c r="K24" s="56"/>
      <c r="L24" s="56"/>
      <c r="M24" s="55"/>
      <c r="N24" s="55"/>
      <c r="O24" s="55"/>
      <c r="P24" s="55"/>
      <c r="Q24" s="55"/>
      <c r="R24" s="55"/>
    </row>
    <row r="25" spans="1:18">
      <c r="A25" s="51">
        <v>3</v>
      </c>
      <c r="B25" s="48">
        <f t="shared" si="0"/>
        <v>76.199999999999989</v>
      </c>
      <c r="C25" s="49">
        <v>15440</v>
      </c>
      <c r="D25" s="50">
        <f t="shared" si="1"/>
        <v>2134.6564955654399</v>
      </c>
      <c r="E25" s="50">
        <f t="shared" si="2"/>
        <v>20933.552</v>
      </c>
      <c r="F25" s="50"/>
      <c r="G25" s="55"/>
      <c r="H25" s="55"/>
      <c r="I25" s="55"/>
      <c r="J25" s="55"/>
      <c r="K25" s="55">
        <v>11743</v>
      </c>
      <c r="L25" s="56"/>
      <c r="M25" s="55"/>
      <c r="N25" s="55"/>
      <c r="O25" s="55"/>
      <c r="P25" s="55"/>
      <c r="Q25" s="55"/>
      <c r="R25" s="55"/>
    </row>
    <row r="26" spans="1:18">
      <c r="A26" s="52"/>
      <c r="B26" s="52"/>
      <c r="C26" s="53"/>
      <c r="D26" s="53"/>
      <c r="E26" s="53"/>
      <c r="F26" s="53"/>
      <c r="G26" s="57"/>
      <c r="H26" s="57"/>
      <c r="I26" s="57"/>
      <c r="J26" s="57"/>
      <c r="K26" s="57"/>
      <c r="L26" s="57">
        <v>17890</v>
      </c>
      <c r="M26" s="57"/>
      <c r="N26" s="57"/>
      <c r="O26" s="57"/>
      <c r="P26" s="57"/>
      <c r="Q26" s="57"/>
      <c r="R26" s="57"/>
    </row>
  </sheetData>
  <autoFilter ref="A3:L3" xr:uid="{00000000-0009-0000-0000-000001000000}"/>
  <mergeCells count="1">
    <mergeCell ref="A1:I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42"/>
  <sheetViews>
    <sheetView zoomScale="115" zoomScaleNormal="115" workbookViewId="0">
      <selection activeCell="AQ3" sqref="AQ3"/>
    </sheetView>
  </sheetViews>
  <sheetFormatPr defaultColWidth="2.85546875" defaultRowHeight="15" customHeight="1"/>
  <cols>
    <col min="1" max="1" width="0.42578125" style="1" customWidth="1"/>
    <col min="2" max="4" width="2.85546875" style="1" customWidth="1"/>
    <col min="5" max="5" width="3.140625" style="1" customWidth="1"/>
    <col min="6" max="7" width="2.85546875" style="1" customWidth="1"/>
    <col min="8" max="10" width="3.5703125" style="1" customWidth="1"/>
    <col min="11" max="14" width="4.28515625" style="1" customWidth="1"/>
    <col min="15" max="17" width="2.85546875" style="1" customWidth="1"/>
    <col min="18" max="22" width="3.28515625" style="1" customWidth="1"/>
    <col min="23" max="25" width="5.5703125" style="1" customWidth="1"/>
    <col min="26" max="32" width="2.85546875" style="1" customWidth="1"/>
    <col min="33" max="36" width="3.42578125" style="1" customWidth="1"/>
    <col min="37" max="40" width="4.140625" style="1" customWidth="1"/>
    <col min="41" max="41" width="0.42578125" style="1" customWidth="1"/>
    <col min="42" max="42" width="2.85546875" style="1"/>
    <col min="43" max="43" width="3.42578125" style="1" bestFit="1" customWidth="1"/>
    <col min="44" max="16384" width="2.85546875" style="1"/>
  </cols>
  <sheetData>
    <row r="1" spans="2:43" ht="3" customHeight="1">
      <c r="B1" s="7"/>
      <c r="C1" s="8"/>
      <c r="D1" s="8"/>
      <c r="E1" s="8"/>
      <c r="F1" s="8"/>
      <c r="G1" s="8"/>
      <c r="H1" s="9" t="s">
        <v>35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/>
      <c r="AJ1" s="10"/>
      <c r="AK1" s="10"/>
      <c r="AL1" s="10"/>
      <c r="AM1" s="10"/>
      <c r="AN1" s="11"/>
    </row>
    <row r="2" spans="2:43" ht="13.5" customHeight="1">
      <c r="B2" s="220" t="s">
        <v>36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2"/>
      <c r="AQ2" s="1" t="s">
        <v>94</v>
      </c>
    </row>
    <row r="3" spans="2:43" ht="13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2"/>
    </row>
    <row r="4" spans="2:43" ht="13.5" customHeight="1">
      <c r="B4" s="223" t="s">
        <v>0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5"/>
    </row>
    <row r="5" spans="2:43" s="6" customFormat="1" ht="10.5" customHeight="1">
      <c r="B5" s="226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8"/>
      <c r="AO5" s="127"/>
      <c r="AP5" s="127"/>
      <c r="AQ5" s="127"/>
    </row>
    <row r="6" spans="2:43" s="6" customFormat="1" ht="10.5" customHeight="1">
      <c r="B6" s="226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8"/>
      <c r="AO6" s="127"/>
      <c r="AP6" s="127"/>
      <c r="AQ6" s="127"/>
    </row>
    <row r="7" spans="2:43" ht="0.75" customHeight="1"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10"/>
      <c r="AN7" s="10"/>
    </row>
    <row r="8" spans="2:43" ht="3" customHeight="1">
      <c r="B8" s="12"/>
      <c r="C8" s="12"/>
      <c r="D8" s="12"/>
      <c r="E8" s="12"/>
      <c r="F8" s="12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4"/>
      <c r="AK8" s="14"/>
      <c r="AL8" s="14"/>
      <c r="AM8" s="14"/>
      <c r="AN8" s="14"/>
    </row>
    <row r="9" spans="2:43" s="3" customFormat="1" ht="12.75">
      <c r="B9" s="107" t="s">
        <v>4</v>
      </c>
      <c r="C9" s="108"/>
      <c r="D9" s="108"/>
      <c r="E9" s="108"/>
      <c r="F9" s="236" t="s">
        <v>38</v>
      </c>
      <c r="G9" s="236"/>
      <c r="H9" s="236"/>
      <c r="I9" s="236"/>
      <c r="J9" s="236"/>
      <c r="K9" s="236"/>
      <c r="L9" s="109" t="s">
        <v>5</v>
      </c>
      <c r="M9" s="109"/>
      <c r="N9" s="237" t="s">
        <v>39</v>
      </c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109" t="s">
        <v>7</v>
      </c>
      <c r="AB9" s="110"/>
      <c r="AC9" s="110"/>
      <c r="AD9" s="233" t="s">
        <v>40</v>
      </c>
      <c r="AE9" s="233"/>
      <c r="AF9" s="233"/>
      <c r="AG9" s="233"/>
      <c r="AH9" s="233"/>
      <c r="AI9" s="233"/>
      <c r="AJ9" s="233"/>
      <c r="AK9" s="233"/>
      <c r="AL9" s="233"/>
      <c r="AM9" s="233"/>
      <c r="AN9" s="111"/>
      <c r="AO9" s="40"/>
      <c r="AP9" s="40"/>
      <c r="AQ9" s="40"/>
    </row>
    <row r="10" spans="2:43" s="5" customFormat="1" ht="10.5" customHeight="1">
      <c r="B10" s="23" t="s">
        <v>41</v>
      </c>
      <c r="C10" s="24"/>
      <c r="D10" s="24"/>
      <c r="E10" s="24"/>
      <c r="F10" s="219"/>
      <c r="G10" s="219"/>
      <c r="H10" s="219"/>
      <c r="I10" s="219"/>
      <c r="J10" s="219"/>
      <c r="K10" s="219"/>
      <c r="L10" s="25" t="s">
        <v>42</v>
      </c>
      <c r="M10" s="25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5" t="s">
        <v>43</v>
      </c>
      <c r="AB10" s="26"/>
      <c r="AC10" s="26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7"/>
    </row>
    <row r="11" spans="2:43" s="3" customFormat="1" ht="3.75" customHeight="1">
      <c r="B11" s="112"/>
      <c r="C11" s="113"/>
      <c r="D11" s="113"/>
      <c r="E11" s="113"/>
      <c r="F11" s="114"/>
      <c r="G11" s="114"/>
      <c r="H11" s="114"/>
      <c r="I11" s="114"/>
      <c r="J11" s="114"/>
      <c r="K11" s="114"/>
      <c r="L11" s="115"/>
      <c r="M11" s="115"/>
      <c r="N11" s="115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5"/>
      <c r="AB11" s="117"/>
      <c r="AC11" s="117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8"/>
      <c r="AO11" s="40"/>
      <c r="AP11" s="40"/>
      <c r="AQ11" s="40"/>
    </row>
    <row r="12" spans="2:43" s="3" customFormat="1" ht="12.75">
      <c r="B12" s="216" t="s">
        <v>9</v>
      </c>
      <c r="C12" s="217"/>
      <c r="D12" s="217"/>
      <c r="E12" s="217"/>
      <c r="F12" s="218" t="s">
        <v>44</v>
      </c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115" t="s">
        <v>10</v>
      </c>
      <c r="S12" s="113"/>
      <c r="T12" s="113"/>
      <c r="U12" s="218"/>
      <c r="V12" s="218"/>
      <c r="W12" s="218"/>
      <c r="X12" s="218"/>
      <c r="Y12" s="218"/>
      <c r="Z12" s="218"/>
      <c r="AA12" s="115" t="s">
        <v>11</v>
      </c>
      <c r="AB12" s="113"/>
      <c r="AC12" s="113"/>
      <c r="AD12" s="113"/>
      <c r="AE12" s="218"/>
      <c r="AF12" s="218"/>
      <c r="AG12" s="218"/>
      <c r="AH12" s="218"/>
      <c r="AI12" s="218"/>
      <c r="AJ12" s="218"/>
      <c r="AK12" s="218"/>
      <c r="AL12" s="218"/>
      <c r="AM12" s="218"/>
      <c r="AN12" s="118"/>
      <c r="AO12" s="40"/>
      <c r="AP12" s="40"/>
      <c r="AQ12" s="40"/>
    </row>
    <row r="13" spans="2:43" s="5" customFormat="1" ht="10.5" customHeight="1">
      <c r="B13" s="23" t="s">
        <v>45</v>
      </c>
      <c r="C13" s="24"/>
      <c r="D13" s="24"/>
      <c r="E13" s="24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5" t="s">
        <v>46</v>
      </c>
      <c r="S13" s="24"/>
      <c r="T13" s="24"/>
      <c r="U13" s="219"/>
      <c r="V13" s="219"/>
      <c r="W13" s="219"/>
      <c r="X13" s="219"/>
      <c r="Y13" s="219"/>
      <c r="Z13" s="219"/>
      <c r="AA13" s="25" t="s">
        <v>47</v>
      </c>
      <c r="AB13" s="26"/>
      <c r="AC13" s="26"/>
      <c r="AD13" s="24"/>
      <c r="AE13" s="219"/>
      <c r="AF13" s="219"/>
      <c r="AG13" s="219"/>
      <c r="AH13" s="219"/>
      <c r="AI13" s="219"/>
      <c r="AJ13" s="219"/>
      <c r="AK13" s="219"/>
      <c r="AL13" s="219"/>
      <c r="AM13" s="219"/>
      <c r="AN13" s="27"/>
    </row>
    <row r="14" spans="2:43" s="3" customFormat="1" ht="3.75" customHeight="1">
      <c r="B14" s="112"/>
      <c r="C14" s="113"/>
      <c r="D14" s="113"/>
      <c r="E14" s="113"/>
      <c r="F14" s="116"/>
      <c r="G14" s="116"/>
      <c r="H14" s="116"/>
      <c r="I14" s="116"/>
      <c r="J14" s="116"/>
      <c r="K14" s="116"/>
      <c r="L14" s="115"/>
      <c r="M14" s="115"/>
      <c r="N14" s="115"/>
      <c r="O14" s="116"/>
      <c r="P14" s="116"/>
      <c r="Q14" s="116"/>
      <c r="R14" s="116"/>
      <c r="S14" s="116"/>
      <c r="T14" s="116"/>
      <c r="U14" s="114"/>
      <c r="V14" s="114"/>
      <c r="W14" s="114"/>
      <c r="X14" s="114"/>
      <c r="Y14" s="114"/>
      <c r="Z14" s="114"/>
      <c r="AA14" s="115"/>
      <c r="AB14" s="117"/>
      <c r="AC14" s="117"/>
      <c r="AD14" s="117"/>
      <c r="AE14" s="110"/>
      <c r="AF14" s="110"/>
      <c r="AG14" s="110"/>
      <c r="AH14" s="110"/>
      <c r="AI14" s="110"/>
      <c r="AJ14" s="110"/>
      <c r="AK14" s="110"/>
      <c r="AL14" s="110"/>
      <c r="AM14" s="110"/>
      <c r="AN14" s="118"/>
      <c r="AO14" s="40"/>
      <c r="AP14" s="40"/>
      <c r="AQ14" s="40"/>
    </row>
    <row r="15" spans="2:43" s="3" customFormat="1" ht="12.75">
      <c r="B15" s="119" t="s">
        <v>13</v>
      </c>
      <c r="C15" s="113"/>
      <c r="D15" s="113"/>
      <c r="E15" s="113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113" t="s">
        <v>15</v>
      </c>
      <c r="S15" s="113"/>
      <c r="T15" s="113"/>
      <c r="U15" s="113"/>
      <c r="V15" s="218"/>
      <c r="W15" s="218"/>
      <c r="X15" s="218"/>
      <c r="Y15" s="218"/>
      <c r="Z15" s="218"/>
      <c r="AA15" s="113" t="s">
        <v>16</v>
      </c>
      <c r="AB15" s="113"/>
      <c r="AC15" s="113"/>
      <c r="AD15" s="113"/>
      <c r="AE15" s="113"/>
      <c r="AF15" s="218" t="s">
        <v>44</v>
      </c>
      <c r="AG15" s="218"/>
      <c r="AH15" s="218"/>
      <c r="AI15" s="218"/>
      <c r="AJ15" s="218"/>
      <c r="AK15" s="218"/>
      <c r="AL15" s="218"/>
      <c r="AM15" s="218"/>
      <c r="AN15" s="118"/>
      <c r="AO15" s="40"/>
      <c r="AP15" s="40"/>
      <c r="AQ15" s="40"/>
    </row>
    <row r="16" spans="2:43" s="5" customFormat="1" ht="10.5" customHeight="1">
      <c r="B16" s="23" t="s">
        <v>48</v>
      </c>
      <c r="C16" s="24"/>
      <c r="D16" s="24"/>
      <c r="E16" s="24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5" t="s">
        <v>49</v>
      </c>
      <c r="S16" s="24"/>
      <c r="T16" s="24"/>
      <c r="U16" s="24"/>
      <c r="V16" s="219"/>
      <c r="W16" s="219"/>
      <c r="X16" s="219"/>
      <c r="Y16" s="219"/>
      <c r="Z16" s="219"/>
      <c r="AA16" s="25" t="s">
        <v>50</v>
      </c>
      <c r="AB16" s="26"/>
      <c r="AC16" s="26"/>
      <c r="AD16" s="24"/>
      <c r="AE16" s="24"/>
      <c r="AF16" s="219"/>
      <c r="AG16" s="219"/>
      <c r="AH16" s="219"/>
      <c r="AI16" s="219"/>
      <c r="AJ16" s="219"/>
      <c r="AK16" s="219"/>
      <c r="AL16" s="219"/>
      <c r="AM16" s="219"/>
      <c r="AN16" s="27"/>
    </row>
    <row r="17" spans="2:43" s="3" customFormat="1" ht="7.5" customHeight="1">
      <c r="B17" s="120"/>
      <c r="C17" s="121"/>
      <c r="D17" s="121"/>
      <c r="E17" s="121"/>
      <c r="F17" s="122"/>
      <c r="G17" s="122"/>
      <c r="H17" s="122"/>
      <c r="I17" s="122"/>
      <c r="J17" s="122"/>
      <c r="K17" s="122"/>
      <c r="L17" s="123"/>
      <c r="M17" s="123"/>
      <c r="N17" s="123"/>
      <c r="O17" s="122"/>
      <c r="P17" s="122"/>
      <c r="Q17" s="122"/>
      <c r="R17" s="122"/>
      <c r="S17" s="122"/>
      <c r="T17" s="122"/>
      <c r="U17" s="122"/>
      <c r="V17" s="124"/>
      <c r="W17" s="124"/>
      <c r="X17" s="124"/>
      <c r="Y17" s="124"/>
      <c r="Z17" s="124"/>
      <c r="AA17" s="123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6"/>
      <c r="AO17" s="40"/>
      <c r="AP17" s="40"/>
      <c r="AQ17" s="40"/>
    </row>
    <row r="18" spans="2:43" ht="3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:43" s="3" customFormat="1" ht="11.25" customHeight="1">
      <c r="B19" s="212" t="s">
        <v>51</v>
      </c>
      <c r="C19" s="212"/>
      <c r="D19" s="212"/>
      <c r="E19" s="212" t="s">
        <v>18</v>
      </c>
      <c r="F19" s="212"/>
      <c r="G19" s="212"/>
      <c r="H19" s="212" t="s">
        <v>19</v>
      </c>
      <c r="I19" s="212"/>
      <c r="J19" s="212"/>
      <c r="K19" s="212" t="s">
        <v>20</v>
      </c>
      <c r="L19" s="212"/>
      <c r="M19" s="212"/>
      <c r="N19" s="212"/>
      <c r="O19" s="214" t="s">
        <v>21</v>
      </c>
      <c r="P19" s="214"/>
      <c r="Q19" s="214"/>
      <c r="R19" s="212" t="s">
        <v>22</v>
      </c>
      <c r="S19" s="212"/>
      <c r="T19" s="212"/>
      <c r="U19" s="212"/>
      <c r="V19" s="212"/>
      <c r="W19" s="212" t="s">
        <v>23</v>
      </c>
      <c r="X19" s="212"/>
      <c r="Y19" s="212"/>
      <c r="Z19" s="212" t="s">
        <v>24</v>
      </c>
      <c r="AA19" s="212"/>
      <c r="AB19" s="212"/>
      <c r="AC19" s="212" t="s">
        <v>25</v>
      </c>
      <c r="AD19" s="212"/>
      <c r="AE19" s="212"/>
      <c r="AF19" s="212"/>
      <c r="AG19" s="212" t="s">
        <v>26</v>
      </c>
      <c r="AH19" s="212"/>
      <c r="AI19" s="212"/>
      <c r="AJ19" s="212"/>
      <c r="AK19" s="212" t="s">
        <v>27</v>
      </c>
      <c r="AL19" s="212"/>
      <c r="AM19" s="212"/>
      <c r="AN19" s="212"/>
      <c r="AO19" s="40"/>
      <c r="AP19" s="40"/>
      <c r="AQ19" s="40"/>
    </row>
    <row r="20" spans="2:43" s="3" customFormat="1" ht="11.25" customHeight="1"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5"/>
      <c r="P20" s="215"/>
      <c r="Q20" s="215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40"/>
      <c r="AP20" s="40"/>
      <c r="AQ20" s="40"/>
    </row>
    <row r="21" spans="2:43" s="3" customFormat="1" ht="11.25" customHeight="1"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5"/>
      <c r="P21" s="215"/>
      <c r="Q21" s="215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40"/>
      <c r="AP21" s="40"/>
      <c r="AQ21" s="40"/>
    </row>
    <row r="22" spans="2:43" s="3" customFormat="1" ht="18.75" customHeight="1">
      <c r="B22" s="209" t="s">
        <v>52</v>
      </c>
      <c r="C22" s="210"/>
      <c r="D22" s="211"/>
      <c r="E22" s="209" t="s">
        <v>53</v>
      </c>
      <c r="F22" s="210"/>
      <c r="G22" s="211"/>
      <c r="H22" s="209" t="s">
        <v>54</v>
      </c>
      <c r="I22" s="210"/>
      <c r="J22" s="211"/>
      <c r="K22" s="209" t="s">
        <v>55</v>
      </c>
      <c r="L22" s="210"/>
      <c r="M22" s="210"/>
      <c r="N22" s="211"/>
      <c r="O22" s="209" t="s">
        <v>56</v>
      </c>
      <c r="P22" s="210"/>
      <c r="Q22" s="211"/>
      <c r="R22" s="209" t="s">
        <v>57</v>
      </c>
      <c r="S22" s="210"/>
      <c r="T22" s="210"/>
      <c r="U22" s="210"/>
      <c r="V22" s="211"/>
      <c r="W22" s="209" t="s">
        <v>58</v>
      </c>
      <c r="X22" s="210"/>
      <c r="Y22" s="211"/>
      <c r="Z22" s="209" t="s">
        <v>59</v>
      </c>
      <c r="AA22" s="210"/>
      <c r="AB22" s="211"/>
      <c r="AC22" s="209" t="s">
        <v>60</v>
      </c>
      <c r="AD22" s="210"/>
      <c r="AE22" s="210"/>
      <c r="AF22" s="211"/>
      <c r="AG22" s="209" t="s">
        <v>61</v>
      </c>
      <c r="AH22" s="210"/>
      <c r="AI22" s="210"/>
      <c r="AJ22" s="211"/>
      <c r="AK22" s="209" t="s">
        <v>62</v>
      </c>
      <c r="AL22" s="210"/>
      <c r="AM22" s="210"/>
      <c r="AN22" s="211"/>
      <c r="AO22" s="40"/>
      <c r="AP22" s="40"/>
      <c r="AQ22" s="40"/>
    </row>
    <row r="23" spans="2:43" ht="16.5" customHeight="1">
      <c r="B23" s="197" t="s">
        <v>95</v>
      </c>
      <c r="C23" s="197"/>
      <c r="D23" s="197"/>
      <c r="E23" s="197" t="s">
        <v>96</v>
      </c>
      <c r="F23" s="198"/>
      <c r="G23" s="198"/>
      <c r="H23" s="197">
        <v>300</v>
      </c>
      <c r="I23" s="198"/>
      <c r="J23" s="198"/>
      <c r="K23" s="200" t="s">
        <v>97</v>
      </c>
      <c r="L23" s="201"/>
      <c r="M23" s="201"/>
      <c r="N23" s="202"/>
      <c r="O23" s="192" t="s">
        <v>98</v>
      </c>
      <c r="P23" s="192"/>
      <c r="Q23" s="192"/>
      <c r="R23" s="197"/>
      <c r="S23" s="198"/>
      <c r="T23" s="198"/>
      <c r="U23" s="198"/>
      <c r="V23" s="198"/>
      <c r="W23" s="192" t="s">
        <v>99</v>
      </c>
      <c r="X23" s="192"/>
      <c r="Y23" s="192"/>
      <c r="Z23" s="206" t="s">
        <v>100</v>
      </c>
      <c r="AA23" s="207"/>
      <c r="AB23" s="208"/>
      <c r="AC23" s="196">
        <v>43054</v>
      </c>
      <c r="AD23" s="196"/>
      <c r="AE23" s="196"/>
      <c r="AF23" s="196"/>
      <c r="AG23" s="203"/>
      <c r="AH23" s="204"/>
      <c r="AI23" s="204"/>
      <c r="AJ23" s="204"/>
      <c r="AK23" s="205"/>
      <c r="AL23" s="198"/>
      <c r="AM23" s="198"/>
      <c r="AN23" s="198"/>
      <c r="AQ23" s="28"/>
    </row>
    <row r="24" spans="2:43" ht="16.5" customHeight="1">
      <c r="B24" s="197" t="s">
        <v>101</v>
      </c>
      <c r="C24" s="197"/>
      <c r="D24" s="197"/>
      <c r="E24" s="197" t="s">
        <v>96</v>
      </c>
      <c r="F24" s="198"/>
      <c r="G24" s="198"/>
      <c r="H24" s="197">
        <v>300</v>
      </c>
      <c r="I24" s="198"/>
      <c r="J24" s="198"/>
      <c r="K24" s="200" t="s">
        <v>97</v>
      </c>
      <c r="L24" s="201"/>
      <c r="M24" s="201"/>
      <c r="N24" s="202"/>
      <c r="O24" s="192" t="s">
        <v>98</v>
      </c>
      <c r="P24" s="192"/>
      <c r="Q24" s="192"/>
      <c r="R24" s="197"/>
      <c r="S24" s="198"/>
      <c r="T24" s="198"/>
      <c r="U24" s="198"/>
      <c r="V24" s="198"/>
      <c r="W24" s="192" t="s">
        <v>99</v>
      </c>
      <c r="X24" s="192"/>
      <c r="Y24" s="192"/>
      <c r="Z24" s="206" t="s">
        <v>100</v>
      </c>
      <c r="AA24" s="207"/>
      <c r="AB24" s="208"/>
      <c r="AC24" s="196">
        <v>43054</v>
      </c>
      <c r="AD24" s="196"/>
      <c r="AE24" s="196"/>
      <c r="AF24" s="196"/>
      <c r="AG24" s="203"/>
      <c r="AH24" s="204"/>
      <c r="AI24" s="204"/>
      <c r="AJ24" s="204"/>
      <c r="AK24" s="205"/>
      <c r="AL24" s="198"/>
      <c r="AM24" s="198"/>
      <c r="AN24" s="198"/>
      <c r="AQ24" s="28"/>
    </row>
    <row r="25" spans="2:43" ht="16.5" customHeight="1">
      <c r="B25" s="197" t="s">
        <v>102</v>
      </c>
      <c r="C25" s="197"/>
      <c r="D25" s="197"/>
      <c r="E25" s="197" t="s">
        <v>103</v>
      </c>
      <c r="F25" s="198"/>
      <c r="G25" s="198"/>
      <c r="H25" s="197">
        <v>300</v>
      </c>
      <c r="I25" s="198"/>
      <c r="J25" s="198"/>
      <c r="K25" s="200" t="s">
        <v>104</v>
      </c>
      <c r="L25" s="201"/>
      <c r="M25" s="201"/>
      <c r="N25" s="202"/>
      <c r="O25" s="192" t="s">
        <v>105</v>
      </c>
      <c r="P25" s="192"/>
      <c r="Q25" s="192"/>
      <c r="R25" s="197"/>
      <c r="S25" s="198"/>
      <c r="T25" s="198"/>
      <c r="U25" s="198"/>
      <c r="V25" s="198"/>
      <c r="W25" s="192" t="s">
        <v>99</v>
      </c>
      <c r="X25" s="192"/>
      <c r="Y25" s="192"/>
      <c r="Z25" s="193"/>
      <c r="AA25" s="194"/>
      <c r="AB25" s="195"/>
      <c r="AC25" s="196">
        <v>43054</v>
      </c>
      <c r="AD25" s="196"/>
      <c r="AE25" s="196"/>
      <c r="AF25" s="196"/>
      <c r="AG25" s="203"/>
      <c r="AH25" s="204"/>
      <c r="AI25" s="204"/>
      <c r="AJ25" s="204"/>
      <c r="AK25" s="205"/>
      <c r="AL25" s="198"/>
      <c r="AM25" s="198"/>
      <c r="AN25" s="198"/>
      <c r="AQ25" s="28"/>
    </row>
    <row r="26" spans="2:43" ht="16.5" customHeight="1">
      <c r="B26" s="197" t="s">
        <v>106</v>
      </c>
      <c r="C26" s="197"/>
      <c r="D26" s="197"/>
      <c r="E26" s="197" t="s">
        <v>103</v>
      </c>
      <c r="F26" s="198"/>
      <c r="G26" s="198"/>
      <c r="H26" s="197">
        <v>150</v>
      </c>
      <c r="I26" s="198"/>
      <c r="J26" s="198"/>
      <c r="K26" s="200" t="s">
        <v>104</v>
      </c>
      <c r="L26" s="201"/>
      <c r="M26" s="201"/>
      <c r="N26" s="202"/>
      <c r="O26" s="192" t="s">
        <v>105</v>
      </c>
      <c r="P26" s="192"/>
      <c r="Q26" s="192"/>
      <c r="R26" s="197"/>
      <c r="S26" s="198"/>
      <c r="T26" s="198"/>
      <c r="U26" s="198"/>
      <c r="V26" s="198"/>
      <c r="W26" s="192" t="s">
        <v>99</v>
      </c>
      <c r="X26" s="192"/>
      <c r="Y26" s="192"/>
      <c r="Z26" s="193"/>
      <c r="AA26" s="194"/>
      <c r="AB26" s="195"/>
      <c r="AC26" s="196">
        <v>43054</v>
      </c>
      <c r="AD26" s="196"/>
      <c r="AE26" s="196"/>
      <c r="AF26" s="196"/>
      <c r="AG26" s="203"/>
      <c r="AH26" s="204"/>
      <c r="AI26" s="204"/>
      <c r="AJ26" s="204"/>
      <c r="AK26" s="205"/>
      <c r="AL26" s="198"/>
      <c r="AM26" s="198"/>
      <c r="AN26" s="198"/>
      <c r="AQ26" s="28"/>
    </row>
    <row r="27" spans="2:43" ht="16.5" customHeight="1">
      <c r="B27" s="197">
        <v>3</v>
      </c>
      <c r="C27" s="197"/>
      <c r="D27" s="197"/>
      <c r="E27" s="197" t="s">
        <v>103</v>
      </c>
      <c r="F27" s="198"/>
      <c r="G27" s="198"/>
      <c r="H27" s="197">
        <v>300</v>
      </c>
      <c r="I27" s="198"/>
      <c r="J27" s="198"/>
      <c r="K27" s="200" t="s">
        <v>104</v>
      </c>
      <c r="L27" s="201"/>
      <c r="M27" s="201"/>
      <c r="N27" s="202"/>
      <c r="O27" s="192" t="s">
        <v>105</v>
      </c>
      <c r="P27" s="192"/>
      <c r="Q27" s="192"/>
      <c r="R27" s="197"/>
      <c r="S27" s="198"/>
      <c r="T27" s="198"/>
      <c r="U27" s="198"/>
      <c r="V27" s="198"/>
      <c r="W27" s="192" t="s">
        <v>99</v>
      </c>
      <c r="X27" s="192"/>
      <c r="Y27" s="192"/>
      <c r="Z27" s="193"/>
      <c r="AA27" s="194"/>
      <c r="AB27" s="195"/>
      <c r="AC27" s="196">
        <v>43054</v>
      </c>
      <c r="AD27" s="196"/>
      <c r="AE27" s="196"/>
      <c r="AF27" s="196"/>
      <c r="AG27" s="203"/>
      <c r="AH27" s="204"/>
      <c r="AI27" s="204"/>
      <c r="AJ27" s="204"/>
      <c r="AK27" s="205"/>
      <c r="AL27" s="198"/>
      <c r="AM27" s="198"/>
      <c r="AN27" s="198"/>
      <c r="AQ27" s="28"/>
    </row>
    <row r="28" spans="2:43" ht="16.5" customHeight="1">
      <c r="B28" s="197">
        <v>4</v>
      </c>
      <c r="C28" s="197"/>
      <c r="D28" s="197"/>
      <c r="E28" s="197" t="s">
        <v>103</v>
      </c>
      <c r="F28" s="198"/>
      <c r="G28" s="198"/>
      <c r="H28" s="197">
        <v>300</v>
      </c>
      <c r="I28" s="198"/>
      <c r="J28" s="198"/>
      <c r="K28" s="200" t="s">
        <v>104</v>
      </c>
      <c r="L28" s="201"/>
      <c r="M28" s="201"/>
      <c r="N28" s="202"/>
      <c r="O28" s="192" t="s">
        <v>105</v>
      </c>
      <c r="P28" s="192"/>
      <c r="Q28" s="192"/>
      <c r="R28" s="197"/>
      <c r="S28" s="198"/>
      <c r="T28" s="198"/>
      <c r="U28" s="198"/>
      <c r="V28" s="198"/>
      <c r="W28" s="192" t="s">
        <v>99</v>
      </c>
      <c r="X28" s="192"/>
      <c r="Y28" s="192"/>
      <c r="Z28" s="193"/>
      <c r="AA28" s="194"/>
      <c r="AB28" s="195"/>
      <c r="AC28" s="196">
        <v>43054</v>
      </c>
      <c r="AD28" s="196"/>
      <c r="AE28" s="196"/>
      <c r="AF28" s="196"/>
      <c r="AG28" s="203"/>
      <c r="AH28" s="204"/>
      <c r="AI28" s="204"/>
      <c r="AJ28" s="204"/>
      <c r="AK28" s="205"/>
      <c r="AL28" s="198"/>
      <c r="AM28" s="198"/>
      <c r="AN28" s="198"/>
      <c r="AQ28" s="28"/>
    </row>
    <row r="29" spans="2:43" ht="16.5" customHeight="1">
      <c r="B29" s="197">
        <v>5</v>
      </c>
      <c r="C29" s="197"/>
      <c r="D29" s="197"/>
      <c r="E29" s="197" t="s">
        <v>107</v>
      </c>
      <c r="F29" s="198"/>
      <c r="G29" s="198"/>
      <c r="H29" s="197">
        <v>150</v>
      </c>
      <c r="I29" s="198"/>
      <c r="J29" s="198"/>
      <c r="K29" s="200" t="s">
        <v>104</v>
      </c>
      <c r="L29" s="201"/>
      <c r="M29" s="201"/>
      <c r="N29" s="202"/>
      <c r="O29" s="192" t="s">
        <v>105</v>
      </c>
      <c r="P29" s="192"/>
      <c r="Q29" s="192"/>
      <c r="R29" s="197"/>
      <c r="S29" s="198"/>
      <c r="T29" s="198"/>
      <c r="U29" s="198"/>
      <c r="V29" s="198"/>
      <c r="W29" s="192" t="s">
        <v>99</v>
      </c>
      <c r="X29" s="192"/>
      <c r="Y29" s="192"/>
      <c r="Z29" s="193"/>
      <c r="AA29" s="194"/>
      <c r="AB29" s="195"/>
      <c r="AC29" s="196">
        <v>43054</v>
      </c>
      <c r="AD29" s="196"/>
      <c r="AE29" s="196"/>
      <c r="AF29" s="196"/>
      <c r="AG29" s="203"/>
      <c r="AH29" s="204"/>
      <c r="AI29" s="204"/>
      <c r="AJ29" s="204"/>
      <c r="AK29" s="205"/>
      <c r="AL29" s="198"/>
      <c r="AM29" s="198"/>
      <c r="AN29" s="198"/>
      <c r="AQ29" s="28"/>
    </row>
    <row r="30" spans="2:43" ht="16.5" customHeight="1">
      <c r="B30" s="197">
        <v>6</v>
      </c>
      <c r="C30" s="197"/>
      <c r="D30" s="197"/>
      <c r="E30" s="197" t="s">
        <v>103</v>
      </c>
      <c r="F30" s="198"/>
      <c r="G30" s="198"/>
      <c r="H30" s="197">
        <v>300</v>
      </c>
      <c r="I30" s="198"/>
      <c r="J30" s="198"/>
      <c r="K30" s="200" t="s">
        <v>104</v>
      </c>
      <c r="L30" s="201"/>
      <c r="M30" s="201"/>
      <c r="N30" s="202"/>
      <c r="O30" s="192" t="s">
        <v>105</v>
      </c>
      <c r="P30" s="192"/>
      <c r="Q30" s="192"/>
      <c r="R30" s="197"/>
      <c r="S30" s="198"/>
      <c r="T30" s="198"/>
      <c r="U30" s="198"/>
      <c r="V30" s="198"/>
      <c r="W30" s="192" t="s">
        <v>99</v>
      </c>
      <c r="X30" s="192"/>
      <c r="Y30" s="192"/>
      <c r="Z30" s="193"/>
      <c r="AA30" s="194"/>
      <c r="AB30" s="195"/>
      <c r="AC30" s="196">
        <v>43054</v>
      </c>
      <c r="AD30" s="196"/>
      <c r="AE30" s="196"/>
      <c r="AF30" s="196"/>
      <c r="AG30" s="203"/>
      <c r="AH30" s="204"/>
      <c r="AI30" s="204"/>
      <c r="AJ30" s="204"/>
      <c r="AK30" s="205"/>
      <c r="AL30" s="198"/>
      <c r="AM30" s="198"/>
      <c r="AN30" s="198"/>
      <c r="AQ30" s="28"/>
    </row>
    <row r="31" spans="2:43" ht="16.5" customHeight="1">
      <c r="B31" s="197" t="s">
        <v>108</v>
      </c>
      <c r="C31" s="197"/>
      <c r="D31" s="197"/>
      <c r="E31" s="197" t="s">
        <v>103</v>
      </c>
      <c r="F31" s="198"/>
      <c r="G31" s="198"/>
      <c r="H31" s="197">
        <v>300</v>
      </c>
      <c r="I31" s="198"/>
      <c r="J31" s="198"/>
      <c r="K31" s="200" t="s">
        <v>104</v>
      </c>
      <c r="L31" s="201"/>
      <c r="M31" s="201"/>
      <c r="N31" s="202"/>
      <c r="O31" s="192" t="s">
        <v>105</v>
      </c>
      <c r="P31" s="192"/>
      <c r="Q31" s="192"/>
      <c r="R31" s="197"/>
      <c r="S31" s="198"/>
      <c r="T31" s="198"/>
      <c r="U31" s="198"/>
      <c r="V31" s="198"/>
      <c r="W31" s="192" t="s">
        <v>99</v>
      </c>
      <c r="X31" s="192"/>
      <c r="Y31" s="192"/>
      <c r="Z31" s="193"/>
      <c r="AA31" s="194"/>
      <c r="AB31" s="195"/>
      <c r="AC31" s="196">
        <v>43054</v>
      </c>
      <c r="AD31" s="196"/>
      <c r="AE31" s="196"/>
      <c r="AF31" s="196"/>
      <c r="AG31" s="203"/>
      <c r="AH31" s="204"/>
      <c r="AI31" s="204"/>
      <c r="AJ31" s="204"/>
      <c r="AK31" s="205"/>
      <c r="AL31" s="198"/>
      <c r="AM31" s="198"/>
      <c r="AN31" s="198"/>
      <c r="AQ31" s="28"/>
    </row>
    <row r="32" spans="2:43" ht="16.5" customHeight="1">
      <c r="B32" s="197" t="s">
        <v>109</v>
      </c>
      <c r="C32" s="197"/>
      <c r="D32" s="197"/>
      <c r="E32" s="197" t="s">
        <v>110</v>
      </c>
      <c r="F32" s="198"/>
      <c r="G32" s="198"/>
      <c r="H32" s="197">
        <v>150</v>
      </c>
      <c r="I32" s="198"/>
      <c r="J32" s="198"/>
      <c r="K32" s="200" t="s">
        <v>104</v>
      </c>
      <c r="L32" s="201"/>
      <c r="M32" s="201"/>
      <c r="N32" s="202"/>
      <c r="O32" s="192" t="s">
        <v>105</v>
      </c>
      <c r="P32" s="192"/>
      <c r="Q32" s="192"/>
      <c r="R32" s="197"/>
      <c r="S32" s="198"/>
      <c r="T32" s="198"/>
      <c r="U32" s="198"/>
      <c r="V32" s="198"/>
      <c r="W32" s="192" t="s">
        <v>99</v>
      </c>
      <c r="X32" s="192"/>
      <c r="Y32" s="192"/>
      <c r="Z32" s="193"/>
      <c r="AA32" s="194"/>
      <c r="AB32" s="195"/>
      <c r="AC32" s="196">
        <v>43054</v>
      </c>
      <c r="AD32" s="196"/>
      <c r="AE32" s="196"/>
      <c r="AF32" s="196"/>
      <c r="AG32" s="203"/>
      <c r="AH32" s="204"/>
      <c r="AI32" s="204"/>
      <c r="AJ32" s="204"/>
      <c r="AK32" s="197"/>
      <c r="AL32" s="198"/>
      <c r="AM32" s="198"/>
      <c r="AN32" s="198"/>
      <c r="AQ32" s="28"/>
    </row>
    <row r="33" spans="2:43" ht="16.5" customHeight="1">
      <c r="B33" s="197" t="s">
        <v>111</v>
      </c>
      <c r="C33" s="197"/>
      <c r="D33" s="197"/>
      <c r="E33" s="197" t="s">
        <v>103</v>
      </c>
      <c r="F33" s="198"/>
      <c r="G33" s="198"/>
      <c r="H33" s="197">
        <v>300</v>
      </c>
      <c r="I33" s="198"/>
      <c r="J33" s="198"/>
      <c r="K33" s="200" t="s">
        <v>104</v>
      </c>
      <c r="L33" s="201"/>
      <c r="M33" s="201"/>
      <c r="N33" s="202"/>
      <c r="O33" s="192" t="s">
        <v>105</v>
      </c>
      <c r="P33" s="192"/>
      <c r="Q33" s="192"/>
      <c r="R33" s="197"/>
      <c r="S33" s="198"/>
      <c r="T33" s="198"/>
      <c r="U33" s="198"/>
      <c r="V33" s="198"/>
      <c r="W33" s="192" t="s">
        <v>99</v>
      </c>
      <c r="X33" s="192"/>
      <c r="Y33" s="192"/>
      <c r="Z33" s="193"/>
      <c r="AA33" s="194"/>
      <c r="AB33" s="195"/>
      <c r="AC33" s="196">
        <v>43054</v>
      </c>
      <c r="AD33" s="196"/>
      <c r="AE33" s="196"/>
      <c r="AF33" s="196"/>
      <c r="AG33" s="197"/>
      <c r="AH33" s="198"/>
      <c r="AI33" s="198"/>
      <c r="AJ33" s="198"/>
      <c r="AK33" s="197"/>
      <c r="AL33" s="198"/>
      <c r="AM33" s="198"/>
      <c r="AN33" s="198"/>
      <c r="AQ33" s="28"/>
    </row>
    <row r="34" spans="2:43" ht="16.5" customHeight="1">
      <c r="B34" s="197" t="s">
        <v>112</v>
      </c>
      <c r="C34" s="197"/>
      <c r="D34" s="197"/>
      <c r="E34" s="197" t="s">
        <v>103</v>
      </c>
      <c r="F34" s="198"/>
      <c r="G34" s="198"/>
      <c r="H34" s="197">
        <v>300</v>
      </c>
      <c r="I34" s="198"/>
      <c r="J34" s="198"/>
      <c r="K34" s="200" t="s">
        <v>104</v>
      </c>
      <c r="L34" s="201"/>
      <c r="M34" s="201"/>
      <c r="N34" s="202"/>
      <c r="O34" s="192" t="s">
        <v>105</v>
      </c>
      <c r="P34" s="192"/>
      <c r="Q34" s="192"/>
      <c r="R34" s="197"/>
      <c r="S34" s="198"/>
      <c r="T34" s="198"/>
      <c r="U34" s="198"/>
      <c r="V34" s="198"/>
      <c r="W34" s="192" t="s">
        <v>99</v>
      </c>
      <c r="X34" s="192"/>
      <c r="Y34" s="192"/>
      <c r="Z34" s="193"/>
      <c r="AA34" s="194"/>
      <c r="AB34" s="195"/>
      <c r="AC34" s="196">
        <v>43054</v>
      </c>
      <c r="AD34" s="196"/>
      <c r="AE34" s="196"/>
      <c r="AF34" s="196"/>
      <c r="AG34" s="197"/>
      <c r="AH34" s="198"/>
      <c r="AI34" s="198"/>
      <c r="AJ34" s="198"/>
      <c r="AK34" s="197"/>
      <c r="AL34" s="198"/>
      <c r="AM34" s="198"/>
      <c r="AN34" s="198"/>
      <c r="AQ34" s="28"/>
    </row>
    <row r="35" spans="2:43" ht="16.5" customHeight="1">
      <c r="B35" s="197" t="s">
        <v>113</v>
      </c>
      <c r="C35" s="197"/>
      <c r="D35" s="197"/>
      <c r="E35" s="197" t="s">
        <v>107</v>
      </c>
      <c r="F35" s="198"/>
      <c r="G35" s="198"/>
      <c r="H35" s="197">
        <v>150</v>
      </c>
      <c r="I35" s="198"/>
      <c r="J35" s="198"/>
      <c r="K35" s="200" t="s">
        <v>104</v>
      </c>
      <c r="L35" s="201"/>
      <c r="M35" s="201"/>
      <c r="N35" s="202"/>
      <c r="O35" s="192" t="s">
        <v>105</v>
      </c>
      <c r="P35" s="192"/>
      <c r="Q35" s="192"/>
      <c r="R35" s="197"/>
      <c r="S35" s="198"/>
      <c r="T35" s="198"/>
      <c r="U35" s="198"/>
      <c r="V35" s="198"/>
      <c r="W35" s="192" t="s">
        <v>99</v>
      </c>
      <c r="X35" s="192"/>
      <c r="Y35" s="192"/>
      <c r="Z35" s="193"/>
      <c r="AA35" s="194"/>
      <c r="AB35" s="195"/>
      <c r="AC35" s="196">
        <v>43054</v>
      </c>
      <c r="AD35" s="196"/>
      <c r="AE35" s="196"/>
      <c r="AF35" s="196"/>
      <c r="AG35" s="197"/>
      <c r="AH35" s="198"/>
      <c r="AI35" s="198"/>
      <c r="AJ35" s="198"/>
      <c r="AK35" s="197"/>
      <c r="AL35" s="198"/>
      <c r="AM35" s="198"/>
      <c r="AN35" s="198"/>
      <c r="AQ35" s="28"/>
    </row>
    <row r="36" spans="2:43" ht="3" customHeight="1"/>
    <row r="37" spans="2:43">
      <c r="B37" s="199" t="s">
        <v>29</v>
      </c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 t="s">
        <v>30</v>
      </c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 t="s">
        <v>31</v>
      </c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</row>
    <row r="38" spans="2:43" s="5" customFormat="1" ht="9">
      <c r="B38" s="187" t="s">
        <v>63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9"/>
      <c r="N38" s="187" t="s">
        <v>64</v>
      </c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9"/>
      <c r="AA38" s="187" t="s">
        <v>65</v>
      </c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9"/>
    </row>
    <row r="39" spans="2:43" s="5" customFormat="1" ht="12.75" customHeight="1">
      <c r="B39" s="15" t="s">
        <v>32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  <c r="N39" s="15" t="s">
        <v>32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5" t="s">
        <v>32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7"/>
    </row>
    <row r="40" spans="2:43" s="5" customFormat="1" ht="27.75" customHeight="1">
      <c r="B40" s="18"/>
      <c r="C40" s="4"/>
      <c r="D40" s="4"/>
      <c r="E40" s="4"/>
      <c r="F40" s="4"/>
      <c r="G40" s="4"/>
      <c r="H40" s="4"/>
      <c r="I40" s="4"/>
      <c r="J40" s="4"/>
      <c r="K40" s="4"/>
      <c r="L40" s="4"/>
      <c r="M40" s="19"/>
      <c r="N40" s="1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19"/>
      <c r="AA40" s="18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19"/>
    </row>
    <row r="41" spans="2:43" s="5" customFormat="1" ht="11.25" customHeight="1">
      <c r="B41" s="20" t="s">
        <v>33</v>
      </c>
      <c r="C41" s="21"/>
      <c r="D41" s="21"/>
      <c r="E41" s="21"/>
      <c r="F41" s="21"/>
      <c r="G41" s="21" t="s">
        <v>34</v>
      </c>
      <c r="H41" s="21"/>
      <c r="I41" s="21"/>
      <c r="J41" s="21"/>
      <c r="K41" s="21"/>
      <c r="L41" s="21"/>
      <c r="M41" s="22"/>
      <c r="N41" s="20" t="s">
        <v>33</v>
      </c>
      <c r="O41" s="21"/>
      <c r="P41" s="21"/>
      <c r="Q41" s="21"/>
      <c r="R41" s="21"/>
      <c r="S41" s="21" t="s">
        <v>34</v>
      </c>
      <c r="T41" s="21"/>
      <c r="U41" s="21"/>
      <c r="V41" s="21"/>
      <c r="W41" s="21"/>
      <c r="X41" s="21"/>
      <c r="Y41" s="21"/>
      <c r="Z41" s="22"/>
      <c r="AA41" s="20" t="s">
        <v>33</v>
      </c>
      <c r="AB41" s="21"/>
      <c r="AC41" s="21"/>
      <c r="AD41" s="21"/>
      <c r="AE41" s="21"/>
      <c r="AF41" s="21" t="s">
        <v>34</v>
      </c>
      <c r="AG41" s="21"/>
      <c r="AH41" s="21"/>
      <c r="AI41" s="21"/>
      <c r="AJ41" s="21"/>
      <c r="AK41" s="21"/>
      <c r="AL41" s="21"/>
      <c r="AM41" s="21"/>
      <c r="AN41" s="22"/>
    </row>
    <row r="42" spans="2:43" ht="3" customHeight="1"/>
  </sheetData>
  <mergeCells count="185">
    <mergeCell ref="B12:E12"/>
    <mergeCell ref="F12:Q13"/>
    <mergeCell ref="U12:Z13"/>
    <mergeCell ref="AE12:AM13"/>
    <mergeCell ref="F15:Q16"/>
    <mergeCell ref="V15:Z16"/>
    <mergeCell ref="AF15:AM16"/>
    <mergeCell ref="B2:AN3"/>
    <mergeCell ref="B4:AN4"/>
    <mergeCell ref="B5:AN5"/>
    <mergeCell ref="B6:AN6"/>
    <mergeCell ref="F9:K10"/>
    <mergeCell ref="N9:Z10"/>
    <mergeCell ref="AD9:AM10"/>
    <mergeCell ref="B22:D22"/>
    <mergeCell ref="E22:G22"/>
    <mergeCell ref="H22:J22"/>
    <mergeCell ref="K22:N22"/>
    <mergeCell ref="O22:Q22"/>
    <mergeCell ref="B19:D21"/>
    <mergeCell ref="E19:G21"/>
    <mergeCell ref="H19:J21"/>
    <mergeCell ref="K19:N21"/>
    <mergeCell ref="O19:Q21"/>
    <mergeCell ref="R22:V22"/>
    <mergeCell ref="W22:Y22"/>
    <mergeCell ref="Z22:AB22"/>
    <mergeCell ref="AC22:AF22"/>
    <mergeCell ref="AG22:AJ22"/>
    <mergeCell ref="AK22:AN22"/>
    <mergeCell ref="W19:Y21"/>
    <mergeCell ref="Z19:AB21"/>
    <mergeCell ref="AC19:AF21"/>
    <mergeCell ref="AG19:AJ21"/>
    <mergeCell ref="AK19:AN21"/>
    <mergeCell ref="R19:V21"/>
    <mergeCell ref="B24:D24"/>
    <mergeCell ref="E24:G24"/>
    <mergeCell ref="H24:J24"/>
    <mergeCell ref="K24:N24"/>
    <mergeCell ref="O24:Q24"/>
    <mergeCell ref="B23:D23"/>
    <mergeCell ref="E23:G23"/>
    <mergeCell ref="H23:J23"/>
    <mergeCell ref="K23:N23"/>
    <mergeCell ref="O23:Q23"/>
    <mergeCell ref="R24:V24"/>
    <mergeCell ref="W24:Y24"/>
    <mergeCell ref="Z24:AB24"/>
    <mergeCell ref="AC24:AF24"/>
    <mergeCell ref="AG24:AJ24"/>
    <mergeCell ref="AK24:AN24"/>
    <mergeCell ref="W23:Y23"/>
    <mergeCell ref="Z23:AB23"/>
    <mergeCell ref="AC23:AF23"/>
    <mergeCell ref="AG23:AJ23"/>
    <mergeCell ref="AK23:AN23"/>
    <mergeCell ref="R23:V23"/>
    <mergeCell ref="B26:D26"/>
    <mergeCell ref="E26:G26"/>
    <mergeCell ref="H26:J26"/>
    <mergeCell ref="K26:N26"/>
    <mergeCell ref="O26:Q26"/>
    <mergeCell ref="B25:D25"/>
    <mergeCell ref="E25:G25"/>
    <mergeCell ref="H25:J25"/>
    <mergeCell ref="K25:N25"/>
    <mergeCell ref="O25:Q25"/>
    <mergeCell ref="R26:V26"/>
    <mergeCell ref="W26:Y26"/>
    <mergeCell ref="Z26:AB26"/>
    <mergeCell ref="AC26:AF26"/>
    <mergeCell ref="AG26:AJ26"/>
    <mergeCell ref="AK26:AN26"/>
    <mergeCell ref="W25:Y25"/>
    <mergeCell ref="Z25:AB25"/>
    <mergeCell ref="AC25:AF25"/>
    <mergeCell ref="AG25:AJ25"/>
    <mergeCell ref="AK25:AN25"/>
    <mergeCell ref="R25:V25"/>
    <mergeCell ref="B28:D28"/>
    <mergeCell ref="E28:G28"/>
    <mergeCell ref="H28:J28"/>
    <mergeCell ref="K28:N28"/>
    <mergeCell ref="O28:Q28"/>
    <mergeCell ref="B27:D27"/>
    <mergeCell ref="E27:G27"/>
    <mergeCell ref="H27:J27"/>
    <mergeCell ref="K27:N27"/>
    <mergeCell ref="O27:Q27"/>
    <mergeCell ref="R28:V28"/>
    <mergeCell ref="W28:Y28"/>
    <mergeCell ref="Z28:AB28"/>
    <mergeCell ref="AC28:AF28"/>
    <mergeCell ref="AG28:AJ28"/>
    <mergeCell ref="AK28:AN28"/>
    <mergeCell ref="W27:Y27"/>
    <mergeCell ref="Z27:AB27"/>
    <mergeCell ref="AC27:AF27"/>
    <mergeCell ref="AG27:AJ27"/>
    <mergeCell ref="AK27:AN27"/>
    <mergeCell ref="R27:V27"/>
    <mergeCell ref="B30:D30"/>
    <mergeCell ref="E30:G30"/>
    <mergeCell ref="H30:J30"/>
    <mergeCell ref="K30:N30"/>
    <mergeCell ref="O30:Q30"/>
    <mergeCell ref="B29:D29"/>
    <mergeCell ref="E29:G29"/>
    <mergeCell ref="H29:J29"/>
    <mergeCell ref="K29:N29"/>
    <mergeCell ref="O29:Q29"/>
    <mergeCell ref="R30:V30"/>
    <mergeCell ref="W30:Y30"/>
    <mergeCell ref="Z30:AB30"/>
    <mergeCell ref="AC30:AF30"/>
    <mergeCell ref="AG30:AJ30"/>
    <mergeCell ref="AK30:AN30"/>
    <mergeCell ref="W29:Y29"/>
    <mergeCell ref="Z29:AB29"/>
    <mergeCell ref="AC29:AF29"/>
    <mergeCell ref="AG29:AJ29"/>
    <mergeCell ref="AK29:AN29"/>
    <mergeCell ref="R29:V29"/>
    <mergeCell ref="B32:D32"/>
    <mergeCell ref="E32:G32"/>
    <mergeCell ref="H32:J32"/>
    <mergeCell ref="K32:N32"/>
    <mergeCell ref="O32:Q32"/>
    <mergeCell ref="B31:D31"/>
    <mergeCell ref="E31:G31"/>
    <mergeCell ref="H31:J31"/>
    <mergeCell ref="K31:N31"/>
    <mergeCell ref="O31:Q31"/>
    <mergeCell ref="R32:V32"/>
    <mergeCell ref="W32:Y32"/>
    <mergeCell ref="Z32:AB32"/>
    <mergeCell ref="AC32:AF32"/>
    <mergeCell ref="AG32:AJ32"/>
    <mergeCell ref="AK32:AN32"/>
    <mergeCell ref="W31:Y31"/>
    <mergeCell ref="Z31:AB31"/>
    <mergeCell ref="AC31:AF31"/>
    <mergeCell ref="AG31:AJ31"/>
    <mergeCell ref="AK31:AN31"/>
    <mergeCell ref="R31:V31"/>
    <mergeCell ref="B34:D34"/>
    <mergeCell ref="E34:G34"/>
    <mergeCell ref="H34:J34"/>
    <mergeCell ref="K34:N34"/>
    <mergeCell ref="O34:Q34"/>
    <mergeCell ref="B33:D33"/>
    <mergeCell ref="E33:G33"/>
    <mergeCell ref="H33:J33"/>
    <mergeCell ref="K33:N33"/>
    <mergeCell ref="O33:Q33"/>
    <mergeCell ref="R34:V34"/>
    <mergeCell ref="W34:Y34"/>
    <mergeCell ref="Z34:AB34"/>
    <mergeCell ref="AC34:AF34"/>
    <mergeCell ref="AG34:AJ34"/>
    <mergeCell ref="AK34:AN34"/>
    <mergeCell ref="W33:Y33"/>
    <mergeCell ref="Z33:AB33"/>
    <mergeCell ref="AC33:AF33"/>
    <mergeCell ref="AG33:AJ33"/>
    <mergeCell ref="AK33:AN33"/>
    <mergeCell ref="R33:V33"/>
    <mergeCell ref="B38:M38"/>
    <mergeCell ref="N38:Z38"/>
    <mergeCell ref="AA38:AN38"/>
    <mergeCell ref="W35:Y35"/>
    <mergeCell ref="Z35:AB35"/>
    <mergeCell ref="AC35:AF35"/>
    <mergeCell ref="AG35:AJ35"/>
    <mergeCell ref="AK35:AN35"/>
    <mergeCell ref="B37:M37"/>
    <mergeCell ref="N37:Z37"/>
    <mergeCell ref="AA37:AN37"/>
    <mergeCell ref="B35:D35"/>
    <mergeCell ref="E35:G35"/>
    <mergeCell ref="H35:J35"/>
    <mergeCell ref="K35:N35"/>
    <mergeCell ref="O35:Q35"/>
    <mergeCell ref="R35:V3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  <MediaLengthInSeconds xmlns="0dda19a0-b94e-4718-b8c0-4f74c0a38a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B24C8-0EC2-4A76-A0C4-10691EDCA7B3}"/>
</file>

<file path=customXml/itemProps2.xml><?xml version="1.0" encoding="utf-8"?>
<ds:datastoreItem xmlns:ds="http://schemas.openxmlformats.org/officeDocument/2006/customXml" ds:itemID="{471DDCB7-F30B-473E-BF11-CCA91B4410CF}"/>
</file>

<file path=customXml/itemProps3.xml><?xml version="1.0" encoding="utf-8"?>
<ds:datastoreItem xmlns:ds="http://schemas.openxmlformats.org/officeDocument/2006/customXml" ds:itemID="{BF5E60F6-BA4A-48D9-92B6-28B328542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Skanska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MECÁNICA</dc:subject>
  <dc:creator>Juan M. Vrcic</dc:creator>
  <cp:keywords/>
  <dc:description/>
  <cp:lastModifiedBy>Caffaratti, Maria Paula</cp:lastModifiedBy>
  <cp:revision/>
  <dcterms:created xsi:type="dcterms:W3CDTF">2007-08-01T17:57:44Z</dcterms:created>
  <dcterms:modified xsi:type="dcterms:W3CDTF">2026-07-18T18:23:50Z</dcterms:modified>
  <cp:category>PRECOMISIONADO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Order">
    <vt:r8>694400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